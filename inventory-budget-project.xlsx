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meybortnem/Downloads/"/>
    </mc:Choice>
  </mc:AlternateContent>
  <xr:revisionPtr revIDLastSave="0" documentId="8_{8F177689-56B1-BB4F-9107-0524A77C75F7}" xr6:coauthVersionLast="47" xr6:coauthVersionMax="47" xr10:uidLastSave="{00000000-0000-0000-0000-000000000000}"/>
  <bookViews>
    <workbookView xWindow="0" yWindow="680" windowWidth="28800" windowHeight="17960" xr2:uid="{8269E4BB-CF3F-4446-A6C8-67E4668EE2D7}"/>
  </bookViews>
  <sheets>
    <sheet name="Introduction" sheetId="6" r:id="rId1"/>
    <sheet name="Dashboard" sheetId="7" r:id="rId2"/>
    <sheet name="Inventory Status" sheetId="2" r:id="rId3"/>
    <sheet name="Expected Demand" sheetId="4" r:id="rId4"/>
    <sheet name="Order Overview" sheetId="5" r:id="rId5"/>
  </sheets>
  <definedNames>
    <definedName name="_xlchart.v1.0" hidden="1">(Dashboard!$H$10:$I$10,Dashboard!$K$10:$L$10)</definedName>
    <definedName name="_xlchart.v1.1" hidden="1">(Dashboard!$H$11:$I$11,Dashboard!$K$11:$L$11)</definedName>
    <definedName name="_xlchart.v1.2" hidden="1">(Dashboard!$H$8:$I$8,Dashboard!$K$8:$L$8)</definedName>
    <definedName name="_xlchart.v1.3" hidden="1">(Dashboard!$H$9:$I$9,Dashboard!$K$9:$L$9)</definedName>
    <definedName name="ExternalData_1" localSheetId="2" hidden="1">'Inventory Status'!$B$9:$G$26</definedName>
    <definedName name="ExternalData_2" localSheetId="4" hidden="1">'Order Overview'!#REF!</definedName>
    <definedName name="ExternalData_4" localSheetId="2" hidden="1">'Inventory Status'!$B$29:$G$73</definedName>
    <definedName name="ExternalData_4" localSheetId="4" hidden="1">'Order Overview'!#REF!</definedName>
    <definedName name="ExternalData_5" localSheetId="2" hidden="1">'Inventory Status'!$B$76:$G$158</definedName>
    <definedName name="ExternalData_5" localSheetId="4" hidden="1">'Order Overview'!#REF!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2" l="1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77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30" i="2"/>
  <c r="G11" i="2"/>
  <c r="G12" i="2"/>
  <c r="G13" i="2"/>
  <c r="G14" i="2"/>
  <c r="G15" i="2"/>
  <c r="G16" i="2"/>
  <c r="G17" i="2"/>
  <c r="G18" i="2"/>
  <c r="G19" i="2"/>
  <c r="G20" i="2"/>
  <c r="G21" i="2"/>
  <c r="G22" i="2"/>
  <c r="G10" i="2"/>
  <c r="G2" i="5"/>
  <c r="C8" i="4"/>
  <c r="G3" i="2"/>
  <c r="P4" i="7"/>
  <c r="B9" i="6"/>
  <c r="B10" i="6"/>
  <c r="B8" i="6"/>
  <c r="B7" i="6"/>
  <c r="E10" i="7" l="1"/>
  <c r="K10" i="7"/>
  <c r="H10" i="7"/>
  <c r="B10" i="7"/>
  <c r="B23" i="5" l="1"/>
  <c r="H51" i="2"/>
  <c r="H156" i="2"/>
  <c r="E161" i="5"/>
  <c r="H98" i="2"/>
  <c r="H91" i="2"/>
  <c r="H22" i="2"/>
  <c r="H72" i="5"/>
  <c r="B73" i="5"/>
  <c r="H49" i="2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D82" i="5"/>
  <c r="C82" i="5"/>
  <c r="D67" i="5"/>
  <c r="D68" i="5"/>
  <c r="D69" i="5"/>
  <c r="D70" i="5"/>
  <c r="D71" i="5"/>
  <c r="D72" i="5"/>
  <c r="D73" i="5"/>
  <c r="D74" i="5"/>
  <c r="D75" i="5"/>
  <c r="D76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50" i="5"/>
  <c r="D51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33" i="5"/>
  <c r="D27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C25" i="5"/>
  <c r="C26" i="5"/>
  <c r="C27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D11" i="5"/>
  <c r="C11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82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26" i="5"/>
  <c r="B127" i="5"/>
  <c r="B128" i="5"/>
  <c r="B129" i="5"/>
  <c r="B130" i="5"/>
  <c r="B131" i="5"/>
  <c r="B132" i="5"/>
  <c r="B133" i="5"/>
  <c r="B134" i="5"/>
  <c r="B135" i="5"/>
  <c r="B116" i="5"/>
  <c r="B117" i="5"/>
  <c r="B118" i="5"/>
  <c r="B119" i="5"/>
  <c r="B120" i="5"/>
  <c r="B121" i="5"/>
  <c r="B122" i="5"/>
  <c r="B123" i="5"/>
  <c r="B124" i="5"/>
  <c r="B125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83" i="5"/>
  <c r="B84" i="5"/>
  <c r="B85" i="5"/>
  <c r="B86" i="5"/>
  <c r="B87" i="5"/>
  <c r="B88" i="5"/>
  <c r="B89" i="5"/>
  <c r="B90" i="5"/>
  <c r="B91" i="5"/>
  <c r="B92" i="5"/>
  <c r="B82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3" i="5"/>
  <c r="H74" i="5"/>
  <c r="H75" i="5"/>
  <c r="H76" i="5"/>
  <c r="H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4" i="5"/>
  <c r="B75" i="5"/>
  <c r="B76" i="5"/>
  <c r="B33" i="5"/>
  <c r="B11" i="5"/>
  <c r="B12" i="5"/>
  <c r="B13" i="5"/>
  <c r="B14" i="5"/>
  <c r="B15" i="5"/>
  <c r="B16" i="5"/>
  <c r="B17" i="5"/>
  <c r="B18" i="5"/>
  <c r="B19" i="5"/>
  <c r="B20" i="5"/>
  <c r="B21" i="5"/>
  <c r="B22" i="5"/>
  <c r="B24" i="5"/>
  <c r="B25" i="5"/>
  <c r="B26" i="5"/>
  <c r="B27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11" i="5"/>
  <c r="H13" i="2"/>
  <c r="H127" i="2"/>
  <c r="H151" i="2"/>
  <c r="H117" i="2"/>
  <c r="H118" i="2"/>
  <c r="H119" i="2"/>
  <c r="H137" i="2"/>
  <c r="H138" i="2"/>
  <c r="H120" i="2"/>
  <c r="H95" i="2"/>
  <c r="H121" i="2"/>
  <c r="H85" i="2"/>
  <c r="H122" i="2"/>
  <c r="H143" i="2"/>
  <c r="H86" i="2"/>
  <c r="H104" i="2"/>
  <c r="H105" i="2"/>
  <c r="H152" i="2"/>
  <c r="H106" i="2"/>
  <c r="H153" i="2"/>
  <c r="H123" i="2"/>
  <c r="H124" i="2"/>
  <c r="H90" i="2"/>
  <c r="H154" i="2"/>
  <c r="H155" i="2"/>
  <c r="H125" i="2"/>
  <c r="H126" i="2"/>
  <c r="H43" i="2"/>
  <c r="H42" i="2"/>
  <c r="H50" i="2"/>
  <c r="H40" i="2"/>
  <c r="H70" i="2"/>
  <c r="H68" i="2"/>
  <c r="H54" i="2"/>
  <c r="H44" i="2"/>
  <c r="H45" i="2"/>
  <c r="H46" i="2"/>
  <c r="H48" i="2"/>
  <c r="H148" i="2"/>
  <c r="H149" i="2"/>
  <c r="H150" i="2"/>
  <c r="H135" i="2"/>
  <c r="H87" i="2"/>
  <c r="H92" i="2"/>
  <c r="H93" i="2"/>
  <c r="H94" i="2"/>
  <c r="H136" i="2"/>
  <c r="H84" i="2"/>
  <c r="H103" i="2"/>
  <c r="H144" i="2"/>
  <c r="H145" i="2"/>
  <c r="H146" i="2"/>
  <c r="H147" i="2"/>
  <c r="H79" i="2"/>
  <c r="H80" i="2"/>
  <c r="H81" i="2"/>
  <c r="H82" i="2"/>
  <c r="H83" i="2"/>
  <c r="H131" i="2"/>
  <c r="H132" i="2"/>
  <c r="H133" i="2"/>
  <c r="H134" i="2"/>
  <c r="H112" i="2"/>
  <c r="H113" i="2"/>
  <c r="H114" i="2"/>
  <c r="H115" i="2"/>
  <c r="H97" i="2"/>
  <c r="H116" i="2"/>
  <c r="H21" i="2"/>
  <c r="H37" i="2"/>
  <c r="H38" i="2"/>
  <c r="H66" i="2"/>
  <c r="H39" i="2"/>
  <c r="H67" i="2"/>
  <c r="H36" i="2"/>
  <c r="H65" i="2"/>
  <c r="H16" i="2"/>
  <c r="H111" i="2"/>
  <c r="H102" i="2"/>
  <c r="H96" i="2"/>
  <c r="H89" i="2"/>
  <c r="H88" i="2"/>
  <c r="H101" i="2"/>
  <c r="H78" i="2"/>
  <c r="H130" i="2"/>
  <c r="H129" i="2"/>
  <c r="H128" i="2"/>
  <c r="H100" i="2"/>
  <c r="H142" i="2"/>
  <c r="H141" i="2"/>
  <c r="H140" i="2"/>
  <c r="H139" i="2"/>
  <c r="H99" i="2"/>
  <c r="H77" i="2"/>
  <c r="H110" i="2"/>
  <c r="H109" i="2"/>
  <c r="H108" i="2"/>
  <c r="H107" i="2"/>
  <c r="H35" i="2"/>
  <c r="H64" i="2"/>
  <c r="H63" i="2"/>
  <c r="H47" i="2"/>
  <c r="H62" i="2"/>
  <c r="H61" i="2"/>
  <c r="H60" i="2"/>
  <c r="H41" i="2"/>
  <c r="H34" i="2"/>
  <c r="H59" i="2"/>
  <c r="H33" i="2"/>
  <c r="H58" i="2"/>
  <c r="H57" i="2"/>
  <c r="H56" i="2"/>
  <c r="H53" i="2"/>
  <c r="H32" i="2"/>
  <c r="H55" i="2"/>
  <c r="H69" i="2"/>
  <c r="H52" i="2"/>
  <c r="H31" i="2"/>
  <c r="H30" i="2"/>
  <c r="H17" i="2"/>
  <c r="H18" i="2"/>
  <c r="H15" i="2"/>
  <c r="H20" i="2"/>
  <c r="H10" i="2"/>
  <c r="H14" i="2"/>
  <c r="H11" i="2"/>
  <c r="H12" i="2"/>
  <c r="H19" i="2"/>
  <c r="Q10" i="7" l="1"/>
  <c r="N10" i="7"/>
  <c r="E160" i="5"/>
  <c r="E159" i="5"/>
  <c r="E73" i="5"/>
  <c r="E23" i="5"/>
  <c r="E52" i="5"/>
  <c r="E40" i="5"/>
  <c r="E90" i="5"/>
  <c r="E101" i="5"/>
  <c r="E91" i="5"/>
  <c r="E146" i="5"/>
  <c r="E115" i="5"/>
  <c r="E114" i="5"/>
  <c r="E41" i="5"/>
  <c r="E155" i="5"/>
  <c r="E122" i="5"/>
  <c r="E93" i="5"/>
  <c r="E141" i="5"/>
  <c r="E107" i="5"/>
  <c r="E137" i="5"/>
  <c r="E133" i="5"/>
  <c r="E99" i="5"/>
  <c r="E139" i="5"/>
  <c r="E131" i="5"/>
  <c r="E98" i="5"/>
  <c r="E85" i="5"/>
  <c r="E157" i="5"/>
  <c r="E123" i="5"/>
  <c r="E97" i="5"/>
  <c r="E14" i="5"/>
  <c r="E57" i="5"/>
  <c r="E149" i="5"/>
  <c r="E125" i="5"/>
  <c r="E117" i="5"/>
  <c r="E109" i="5"/>
  <c r="E55" i="5"/>
  <c r="E156" i="5"/>
  <c r="E148" i="5"/>
  <c r="E140" i="5"/>
  <c r="E132" i="5"/>
  <c r="E124" i="5"/>
  <c r="E116" i="5"/>
  <c r="E108" i="5"/>
  <c r="E100" i="5"/>
  <c r="E92" i="5"/>
  <c r="E84" i="5"/>
  <c r="E147" i="5"/>
  <c r="E65" i="5"/>
  <c r="E70" i="5"/>
  <c r="E71" i="5"/>
  <c r="E152" i="5"/>
  <c r="E144" i="5"/>
  <c r="E136" i="5"/>
  <c r="E128" i="5"/>
  <c r="E120" i="5"/>
  <c r="E112" i="5"/>
  <c r="E104" i="5"/>
  <c r="E96" i="5"/>
  <c r="E88" i="5"/>
  <c r="E72" i="5"/>
  <c r="E154" i="5"/>
  <c r="E138" i="5"/>
  <c r="E130" i="5"/>
  <c r="E106" i="5"/>
  <c r="E153" i="5"/>
  <c r="E145" i="5"/>
  <c r="E129" i="5"/>
  <c r="E121" i="5"/>
  <c r="E105" i="5"/>
  <c r="E89" i="5"/>
  <c r="E11" i="5"/>
  <c r="E64" i="5"/>
  <c r="E69" i="5"/>
  <c r="E82" i="5"/>
  <c r="E151" i="5"/>
  <c r="E143" i="5"/>
  <c r="E135" i="5"/>
  <c r="E127" i="5"/>
  <c r="E119" i="5"/>
  <c r="E111" i="5"/>
  <c r="E103" i="5"/>
  <c r="E95" i="5"/>
  <c r="E87" i="5"/>
  <c r="E113" i="5"/>
  <c r="E17" i="5"/>
  <c r="E63" i="5"/>
  <c r="E67" i="5"/>
  <c r="E158" i="5"/>
  <c r="E150" i="5"/>
  <c r="E142" i="5"/>
  <c r="E134" i="5"/>
  <c r="E126" i="5"/>
  <c r="E118" i="5"/>
  <c r="E110" i="5"/>
  <c r="E102" i="5"/>
  <c r="E94" i="5"/>
  <c r="E86" i="5"/>
  <c r="E18" i="5"/>
  <c r="E22" i="5"/>
  <c r="E13" i="5"/>
  <c r="E21" i="5"/>
  <c r="E12" i="5"/>
  <c r="E20" i="5"/>
  <c r="E19" i="5"/>
  <c r="E15" i="5"/>
  <c r="E48" i="5"/>
  <c r="E66" i="5"/>
  <c r="E58" i="5"/>
  <c r="E50" i="5"/>
  <c r="E42" i="5"/>
  <c r="E34" i="5"/>
  <c r="E49" i="5"/>
  <c r="E47" i="5"/>
  <c r="E39" i="5"/>
  <c r="E68" i="5"/>
  <c r="E61" i="5"/>
  <c r="E53" i="5"/>
  <c r="E45" i="5"/>
  <c r="E37" i="5"/>
  <c r="E62" i="5"/>
  <c r="E54" i="5"/>
  <c r="E46" i="5"/>
  <c r="E38" i="5"/>
  <c r="E60" i="5"/>
  <c r="E44" i="5"/>
  <c r="E36" i="5"/>
  <c r="E56" i="5"/>
  <c r="E33" i="5"/>
  <c r="E59" i="5"/>
  <c r="E51" i="5"/>
  <c r="E43" i="5"/>
  <c r="E35" i="5"/>
  <c r="E16" i="5"/>
  <c r="H164" i="5"/>
  <c r="E83" i="5"/>
  <c r="H77" i="5"/>
  <c r="H28" i="5"/>
  <c r="G7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EB4FFE-6FFB-1E47-864B-A9796A2B0CC1}" keepAlive="1" name="Query - restaurant_inventory_columns" description="Connection to the 'restaurant_inventory_columns' query in the workbook." type="5" refreshedVersion="8" background="1" saveData="1">
    <dbPr connection="Provider=Microsoft.Mashup.OleDb.1;Data Source=$Workbook$;Location=restaurant_inventory_columns;Extended Properties=&quot;&quot;" command="SELECT * FROM [restaurant_inventory_columns]"/>
  </connection>
  <connection id="2" xr16:uid="{0C38B0C8-BF9C-A147-8798-1AB6DD408AE4}" keepAlive="1" name="Query - restaurant_inventory_columns (10)" description="Connection to the 'restaurant_inventory_columns (10)' query in the workbook." type="5" refreshedVersion="8" background="1" saveData="1">
    <dbPr connection="Provider=Microsoft.Mashup.OleDb.1;Data Source=$Workbook$;Location=&quot;restaurant_inventory_columns (10)&quot;;Extended Properties=&quot;&quot;" command="SELECT * FROM [restaurant_inventory_columns (10)]"/>
  </connection>
  <connection id="3" xr16:uid="{DA123DCE-DB21-0849-A0A1-121783A182E7}" keepAlive="1" name="Query - restaurant_inventory_columns (11)" description="Connection to the 'restaurant_inventory_columns (11)' query in the workbook." type="5" refreshedVersion="8" background="1" saveData="1">
    <dbPr connection="Provider=Microsoft.Mashup.OleDb.1;Data Source=$Workbook$;Location=&quot;restaurant_inventory_columns (11)&quot;;Extended Properties=&quot;&quot;" command="SELECT * FROM [restaurant_inventory_columns (11)]"/>
  </connection>
  <connection id="4" xr16:uid="{A33E41BA-AA1F-DD46-A3B7-72F2824FA15E}" keepAlive="1" name="Query - restaurant_inventory_columns (12)" description="Connection to the 'restaurant_inventory_columns (12)' query in the workbook." type="5" refreshedVersion="8" background="1" saveData="1">
    <dbPr connection="Provider=Microsoft.Mashup.OleDb.1;Data Source=$Workbook$;Location=&quot;restaurant_inventory_columns (12)&quot;;Extended Properties=&quot;&quot;" command="SELECT * FROM [restaurant_inventory_columns (12)]"/>
  </connection>
  <connection id="5" xr16:uid="{2C2F4110-8476-284E-A1C9-CA420CAA5B22}" keepAlive="1" name="Query - restaurant_inventory_columns (13)" description="Connection to the 'restaurant_inventory_columns (13)' query in the workbook." type="5" refreshedVersion="8" background="1" saveData="1">
    <dbPr connection="Provider=Microsoft.Mashup.OleDb.1;Data Source=$Workbook$;Location=&quot;restaurant_inventory_columns (13)&quot;;Extended Properties=&quot;&quot;" command="SELECT * FROM [restaurant_inventory_columns (13)]"/>
  </connection>
  <connection id="6" xr16:uid="{AC1E2195-41C9-BE4B-8F7A-1A1BAA93A24A}" keepAlive="1" name="Query - restaurant_inventory_columns (14)" description="Connection to the 'restaurant_inventory_columns (14)' query in the workbook." type="5" refreshedVersion="8" background="1" saveData="1">
    <dbPr connection="Provider=Microsoft.Mashup.OleDb.1;Data Source=$Workbook$;Location=&quot;restaurant_inventory_columns (14)&quot;;Extended Properties=&quot;&quot;" command="SELECT * FROM [restaurant_inventory_columns (14)]"/>
  </connection>
  <connection id="7" xr16:uid="{B3F762F2-3C56-6E4A-AC29-CB7DE2F6B9FA}" keepAlive="1" name="Query - restaurant_inventory_columns (15)" description="Connection to the 'restaurant_inventory_columns (15)' query in the workbook." type="5" refreshedVersion="8" background="1" saveData="1">
    <dbPr connection="Provider=Microsoft.Mashup.OleDb.1;Data Source=$Workbook$;Location=&quot;restaurant_inventory_columns (15)&quot;;Extended Properties=&quot;&quot;" command="SELECT * FROM [restaurant_inventory_columns (15)]"/>
  </connection>
  <connection id="8" xr16:uid="{24FC6577-F1DA-7845-B036-030F6BD0D775}" keepAlive="1" name="Query - restaurant_inventory_columns (16)" description="Connection to the 'restaurant_inventory_columns (16)' query in the workbook." type="5" refreshedVersion="8" background="1" saveData="1">
    <dbPr connection="Provider=Microsoft.Mashup.OleDb.1;Data Source=$Workbook$;Location=&quot;restaurant_inventory_columns (16)&quot;;Extended Properties=&quot;&quot;" command="SELECT * FROM [restaurant_inventory_columns (16)]"/>
  </connection>
  <connection id="9" xr16:uid="{1D6D94F0-442F-334E-B235-255E4EC00CF1}" keepAlive="1" name="Query - restaurant_inventory_columns (17)" description="Connection to the 'restaurant_inventory_columns (17)' query in the workbook." type="5" refreshedVersion="8" background="1" saveData="1">
    <dbPr connection="Provider=Microsoft.Mashup.OleDb.1;Data Source=$Workbook$;Location=&quot;restaurant_inventory_columns (17)&quot;;Extended Properties=&quot;&quot;" command="SELECT * FROM [restaurant_inventory_columns (17)]"/>
  </connection>
  <connection id="10" xr16:uid="{27E2350D-FABC-D746-8CA5-46E7BA070054}" keepAlive="1" name="Query - restaurant_inventory_columns (18)" description="Connection to the 'restaurant_inventory_columns (18)' query in the workbook." type="5" refreshedVersion="8" background="1" saveData="1">
    <dbPr connection="Provider=Microsoft.Mashup.OleDb.1;Data Source=$Workbook$;Location=&quot;restaurant_inventory_columns (18)&quot;;Extended Properties=&quot;&quot;" command="SELECT * FROM [restaurant_inventory_columns (18)]"/>
  </connection>
  <connection id="11" xr16:uid="{702E059D-0E78-E94C-93EA-5C89BE4848BA}" keepAlive="1" name="Query - restaurant_inventory_columns (19)" description="Connection to the 'restaurant_inventory_columns (19)' query in the workbook." type="5" refreshedVersion="8" background="1" saveData="1">
    <dbPr connection="Provider=Microsoft.Mashup.OleDb.1;Data Source=$Workbook$;Location=&quot;restaurant_inventory_columns (19)&quot;;Extended Properties=&quot;&quot;" command="SELECT * FROM [restaurant_inventory_columns (19)]"/>
  </connection>
  <connection id="12" xr16:uid="{3D8A171C-0FCD-7F40-8166-54823E5E32CA}" keepAlive="1" name="Query - restaurant_inventory_columns (2)" description="Connection to the 'restaurant_inventory_columns (2)' query in the workbook." type="5" refreshedVersion="8" background="1" saveData="1">
    <dbPr connection="Provider=Microsoft.Mashup.OleDb.1;Data Source=$Workbook$;Location=&quot;restaurant_inventory_columns (2)&quot;;Extended Properties=&quot;&quot;" command="SELECT * FROM [restaurant_inventory_columns (2)]"/>
  </connection>
  <connection id="13" xr16:uid="{7BFE48BD-D89D-8444-9CEF-472E01767E18}" keepAlive="1" name="Query - restaurant_inventory_columns (20)" description="Connection to the 'restaurant_inventory_columns (20)' query in the workbook." type="5" refreshedVersion="8" background="1" saveData="1">
    <dbPr connection="Provider=Microsoft.Mashup.OleDb.1;Data Source=$Workbook$;Location=&quot;restaurant_inventory_columns (20)&quot;;Extended Properties=&quot;&quot;" command="SELECT * FROM [restaurant_inventory_columns (20)]"/>
  </connection>
  <connection id="14" xr16:uid="{C0B7CD17-03E4-BF4A-88A2-595E2A29889D}" keepAlive="1" name="Query - restaurant_inventory_columns (21)" description="Connection to the 'restaurant_inventory_columns (21)' query in the workbook." type="5" refreshedVersion="8" background="1" saveData="1">
    <dbPr connection="Provider=Microsoft.Mashup.OleDb.1;Data Source=$Workbook$;Location=&quot;restaurant_inventory_columns (21)&quot;;Extended Properties=&quot;&quot;" command="SELECT * FROM [restaurant_inventory_columns (21)]"/>
  </connection>
  <connection id="15" xr16:uid="{D956F40B-C4CD-004A-B26D-D042B8FE2574}" keepAlive="1" name="Query - restaurant_inventory_columns (3)" description="Connection to the 'restaurant_inventory_columns (3)' query in the workbook." type="5" refreshedVersion="8" background="1" saveData="1">
    <dbPr connection="Provider=Microsoft.Mashup.OleDb.1;Data Source=$Workbook$;Location=&quot;restaurant_inventory_columns (3)&quot;;Extended Properties=&quot;&quot;" command="SELECT * FROM [restaurant_inventory_columns (3)]"/>
  </connection>
  <connection id="16" xr16:uid="{DFD8FFCD-D71B-DC46-BB5B-8BE2911CBD53}" keepAlive="1" name="Query - restaurant_inventory_columns (4)" description="Connection to the 'restaurant_inventory_columns (4)' query in the workbook." type="5" refreshedVersion="8" background="1" saveData="1">
    <dbPr connection="Provider=Microsoft.Mashup.OleDb.1;Data Source=$Workbook$;Location=&quot;restaurant_inventory_columns (4)&quot;;Extended Properties=&quot;&quot;" command="SELECT * FROM [restaurant_inventory_columns (4)]"/>
  </connection>
  <connection id="17" xr16:uid="{D4274B2C-5D30-FA42-B6D6-ACCAE268D46F}" keepAlive="1" name="Query - restaurant_inventory_columns (5)" description="Connection to the 'restaurant_inventory_columns (5)' query in the workbook." type="5" refreshedVersion="8" background="1" saveData="1">
    <dbPr connection="Provider=Microsoft.Mashup.OleDb.1;Data Source=$Workbook$;Location=&quot;restaurant_inventory_columns (5)&quot;;Extended Properties=&quot;&quot;" command="SELECT * FROM [restaurant_inventory_columns (5)]"/>
  </connection>
  <connection id="18" xr16:uid="{70EF7E67-642C-2941-970C-DEF6056A68A6}" keepAlive="1" name="Query - restaurant_inventory_columns (6)" description="Connection to the 'restaurant_inventory_columns (6)' query in the workbook." type="5" refreshedVersion="8" background="1" saveData="1">
    <dbPr connection="Provider=Microsoft.Mashup.OleDb.1;Data Source=$Workbook$;Location=&quot;restaurant_inventory_columns (6)&quot;;Extended Properties=&quot;&quot;" command="SELECT * FROM [restaurant_inventory_columns (6)]"/>
  </connection>
  <connection id="19" xr16:uid="{32E17112-F0C5-6146-B9CB-34367A16CF42}" keepAlive="1" name="Query - restaurant_inventory_columns (7)" description="Connection to the 'restaurant_inventory_columns (7)' query in the workbook." type="5" refreshedVersion="8" background="1" saveData="1">
    <dbPr connection="Provider=Microsoft.Mashup.OleDb.1;Data Source=$Workbook$;Location=&quot;restaurant_inventory_columns (7)&quot;;Extended Properties=&quot;&quot;" command="SELECT * FROM [restaurant_inventory_columns (7)]"/>
  </connection>
  <connection id="20" xr16:uid="{B7FE0D81-549B-614B-8F53-BBBD9AC9AF6E}" keepAlive="1" name="Query - restaurant_inventory_columns (8)" description="Connection to the 'restaurant_inventory_columns (8)' query in the workbook." type="5" refreshedVersion="8" background="1" saveData="1">
    <dbPr connection="Provider=Microsoft.Mashup.OleDb.1;Data Source=$Workbook$;Location=&quot;restaurant_inventory_columns (8)&quot;;Extended Properties=&quot;&quot;" command="SELECT * FROM [restaurant_inventory_columns (8)]"/>
  </connection>
  <connection id="21" xr16:uid="{BF256ED9-99B5-4C4C-8B82-F87613EF936C}" keepAlive="1" name="Query - restaurant_inventory_columns (9)" description="Connection to the 'restaurant_inventory_columns (9)' query in the workbook." type="5" refreshedVersion="8" background="1" saveData="1">
    <dbPr connection="Provider=Microsoft.Mashup.OleDb.1;Data Source=$Workbook$;Location=&quot;restaurant_inventory_columns (9)&quot;;Extended Properties=&quot;&quot;" command="SELECT * FROM [restaurant_inventory_columns (9)]"/>
  </connection>
</connections>
</file>

<file path=xl/sharedStrings.xml><?xml version="1.0" encoding="utf-8"?>
<sst xmlns="http://schemas.openxmlformats.org/spreadsheetml/2006/main" count="505" uniqueCount="220">
  <si>
    <t>Item</t>
  </si>
  <si>
    <t>Category</t>
  </si>
  <si>
    <t>Reorder?</t>
  </si>
  <si>
    <t>Current Quantity</t>
  </si>
  <si>
    <t>Target Quantity</t>
  </si>
  <si>
    <t>Multiplier</t>
  </si>
  <si>
    <t>Expected Demand</t>
  </si>
  <si>
    <t>High</t>
  </si>
  <si>
    <t>Very High</t>
  </si>
  <si>
    <t>Demand Level</t>
  </si>
  <si>
    <t>Inventory Status</t>
  </si>
  <si>
    <t>Frozen</t>
  </si>
  <si>
    <t>Dry</t>
  </si>
  <si>
    <t>Refridgerated</t>
  </si>
  <si>
    <t>Quantity Needed</t>
  </si>
  <si>
    <t>Expected Demand Overview</t>
  </si>
  <si>
    <t>Expected Demand Selector</t>
  </si>
  <si>
    <t>Chocolate Ice Cream</t>
  </si>
  <si>
    <t>Vanilla Ice Cream</t>
  </si>
  <si>
    <t>Chicken Breast</t>
  </si>
  <si>
    <t>Sweet Potato Fries</t>
  </si>
  <si>
    <t>Brioche Buns</t>
  </si>
  <si>
    <t>Lemonade Concentrate</t>
  </si>
  <si>
    <t>White Bread</t>
  </si>
  <si>
    <t>Gluten-Free Buns</t>
  </si>
  <si>
    <t>Bean Patties</t>
  </si>
  <si>
    <t>Unit Type</t>
  </si>
  <si>
    <t>Ice Cream</t>
  </si>
  <si>
    <t>Meat</t>
  </si>
  <si>
    <t>Fry</t>
  </si>
  <si>
    <t>Produce</t>
  </si>
  <si>
    <t>Bread</t>
  </si>
  <si>
    <t>Drink</t>
  </si>
  <si>
    <t>Misc</t>
  </si>
  <si>
    <t>Box</t>
  </si>
  <si>
    <t>Tub</t>
  </si>
  <si>
    <t>Dairy</t>
  </si>
  <si>
    <t>Whipped Cream</t>
  </si>
  <si>
    <t>Beef Patties</t>
  </si>
  <si>
    <t>Sauce</t>
  </si>
  <si>
    <t>Can</t>
  </si>
  <si>
    <t>Stick</t>
  </si>
  <si>
    <t>Bag</t>
  </si>
  <si>
    <t>Heavy Whipping Cream</t>
  </si>
  <si>
    <t>Carton</t>
  </si>
  <si>
    <t>Bacon</t>
  </si>
  <si>
    <t>Ranch</t>
  </si>
  <si>
    <t>Butter</t>
  </si>
  <si>
    <t>Corn</t>
  </si>
  <si>
    <t>Spring Mix</t>
  </si>
  <si>
    <t>Yellow Onion</t>
  </si>
  <si>
    <t>Lettuce</t>
  </si>
  <si>
    <t>Milk</t>
  </si>
  <si>
    <t>Sliced Cheddar Cheese</t>
  </si>
  <si>
    <t>Coffee Concentrate</t>
  </si>
  <si>
    <t>Garlic Cloves</t>
  </si>
  <si>
    <t>Cilantro</t>
  </si>
  <si>
    <t>Bottle</t>
  </si>
  <si>
    <t>Bleu Cheese</t>
  </si>
  <si>
    <t>Shredded Cheddar Cheese</t>
  </si>
  <si>
    <t>Sliced Pepperjack Cheese</t>
  </si>
  <si>
    <t>Goat Cheese</t>
  </si>
  <si>
    <t>Coleslaw Mix</t>
  </si>
  <si>
    <t>Shredded Parmesan Cheese</t>
  </si>
  <si>
    <t>Relish</t>
  </si>
  <si>
    <t>Mayonaise</t>
  </si>
  <si>
    <t>Portland Ketchup</t>
  </si>
  <si>
    <t>Large Gloves</t>
  </si>
  <si>
    <t>Salt</t>
  </si>
  <si>
    <t>Pepper</t>
  </si>
  <si>
    <t>Cajun</t>
  </si>
  <si>
    <t>Floor Cleaner</t>
  </si>
  <si>
    <t>Apple Juice</t>
  </si>
  <si>
    <t>Diet Coke</t>
  </si>
  <si>
    <t>Chipotle Pepper in Adobo</t>
  </si>
  <si>
    <t>Plastic Knives</t>
  </si>
  <si>
    <t>Plastic Spoons</t>
  </si>
  <si>
    <t>Plastic Forks</t>
  </si>
  <si>
    <t>Labels</t>
  </si>
  <si>
    <t>Crumbled Oreos</t>
  </si>
  <si>
    <t>Trash Liners</t>
  </si>
  <si>
    <t>Medium Gloves</t>
  </si>
  <si>
    <t>Small Paper Bags</t>
  </si>
  <si>
    <t>Big Paper Bags</t>
  </si>
  <si>
    <t>Small Paper Boxes</t>
  </si>
  <si>
    <t>Big Paper Boxes</t>
  </si>
  <si>
    <t>Griddle Pads</t>
  </si>
  <si>
    <t>Canned Ketchup</t>
  </si>
  <si>
    <t>Jalapeños</t>
  </si>
  <si>
    <t>Pickles</t>
  </si>
  <si>
    <t>Tomatos</t>
  </si>
  <si>
    <t>Cucumbers</t>
  </si>
  <si>
    <t>Russet Potatos</t>
  </si>
  <si>
    <t>Mushrooms</t>
  </si>
  <si>
    <t>Avocados</t>
  </si>
  <si>
    <t>Green Onions</t>
  </si>
  <si>
    <t>Side Salad Cup</t>
  </si>
  <si>
    <t>Windex</t>
  </si>
  <si>
    <t>Degreaser</t>
  </si>
  <si>
    <t>Bleach</t>
  </si>
  <si>
    <t>Griddle Screens</t>
  </si>
  <si>
    <t>Dawn Dish Soap</t>
  </si>
  <si>
    <t>Garlic Powder</t>
  </si>
  <si>
    <t>Ground Mustard</t>
  </si>
  <si>
    <t>Mustard Seeds</t>
  </si>
  <si>
    <t>Red Pepper Flakes</t>
  </si>
  <si>
    <t>Yellow Mustard</t>
  </si>
  <si>
    <t>Dijon Mustard</t>
  </si>
  <si>
    <t>Maple Syrup</t>
  </si>
  <si>
    <t>Honey</t>
  </si>
  <si>
    <t>Habañero Peppers</t>
  </si>
  <si>
    <t>Stem Cherries</t>
  </si>
  <si>
    <t>Stemless Cherries</t>
  </si>
  <si>
    <t>Napkins</t>
  </si>
  <si>
    <t>Big Straws</t>
  </si>
  <si>
    <t>Small Straws</t>
  </si>
  <si>
    <t>Onion Powder</t>
  </si>
  <si>
    <t>Olive Oil</t>
  </si>
  <si>
    <t>Flour</t>
  </si>
  <si>
    <t>Sugar</t>
  </si>
  <si>
    <t>Brown Sugar</t>
  </si>
  <si>
    <t>Tajín</t>
  </si>
  <si>
    <t>Worcheshire</t>
  </si>
  <si>
    <t>Grill Cleaner</t>
  </si>
  <si>
    <t>Plastic Wrap</t>
  </si>
  <si>
    <t>Normal</t>
  </si>
  <si>
    <t>Container</t>
  </si>
  <si>
    <t>Utensil</t>
  </si>
  <si>
    <t>To-Go</t>
  </si>
  <si>
    <t>Seasoning</t>
  </si>
  <si>
    <t>Cleaning</t>
  </si>
  <si>
    <t>Cooking</t>
  </si>
  <si>
    <t>Ingredient</t>
  </si>
  <si>
    <t>Roll</t>
  </si>
  <si>
    <t>Container/Box</t>
  </si>
  <si>
    <t>Order Overview</t>
  </si>
  <si>
    <t>Individual Box</t>
  </si>
  <si>
    <t>Pad</t>
  </si>
  <si>
    <t>BV Plastic Cups</t>
  </si>
  <si>
    <t>Teriyaki</t>
  </si>
  <si>
    <t>Vinaigrette</t>
  </si>
  <si>
    <t>A1 Steak Sauce</t>
  </si>
  <si>
    <t>Cayenne Pepper</t>
  </si>
  <si>
    <t>Lawry's Garlic Pepper</t>
  </si>
  <si>
    <t>Balsamic Reduction</t>
  </si>
  <si>
    <t>Croutons</t>
  </si>
  <si>
    <t>Sriracha</t>
  </si>
  <si>
    <t>Steel Wool</t>
  </si>
  <si>
    <t>Frank's Red Hot</t>
  </si>
  <si>
    <t>Fry Boxes</t>
  </si>
  <si>
    <t>Hand Soap Refill</t>
  </si>
  <si>
    <t>Tray Paper</t>
  </si>
  <si>
    <t>Toilet Paper</t>
  </si>
  <si>
    <t>Sauce Cup</t>
  </si>
  <si>
    <t>Swiss Cheese</t>
  </si>
  <si>
    <t>Pesto</t>
  </si>
  <si>
    <t>Apple Cider Vinegar</t>
  </si>
  <si>
    <t>Red Wine Vinegar</t>
  </si>
  <si>
    <t>Red Onion</t>
  </si>
  <si>
    <t>Ham</t>
  </si>
  <si>
    <t>Mini Buns</t>
  </si>
  <si>
    <t>Tea Bags</t>
  </si>
  <si>
    <t>Soda Lids</t>
  </si>
  <si>
    <t>Milkshake Lids</t>
  </si>
  <si>
    <t>Chocolate Syrup</t>
  </si>
  <si>
    <t>Coca-Cola</t>
  </si>
  <si>
    <t>Orange Juice</t>
  </si>
  <si>
    <t>Smart Water</t>
  </si>
  <si>
    <t>Chocolate Flakes</t>
  </si>
  <si>
    <t>Caramel Syrup</t>
  </si>
  <si>
    <t>Drink Carrier</t>
  </si>
  <si>
    <t>Malt Vinegar</t>
  </si>
  <si>
    <t>Stack</t>
  </si>
  <si>
    <t>Items Needed</t>
  </si>
  <si>
    <t>Line Price</t>
  </si>
  <si>
    <t>Order Quantity</t>
  </si>
  <si>
    <t>Needed Quantity</t>
  </si>
  <si>
    <t>Frozen Total</t>
  </si>
  <si>
    <t>Needed Quantity (W/ Multiplier)</t>
  </si>
  <si>
    <t>Refridgerated Total</t>
  </si>
  <si>
    <t>Dry Total</t>
  </si>
  <si>
    <t>Total Order Price</t>
  </si>
  <si>
    <t>Current Order Budget</t>
  </si>
  <si>
    <t>Eggs</t>
  </si>
  <si>
    <t>Order Price</t>
  </si>
  <si>
    <t>Strawberry</t>
  </si>
  <si>
    <t>Paper Towels</t>
  </si>
  <si>
    <t>Sauce Cup Lids</t>
  </si>
  <si>
    <t>Lemon Juice</t>
  </si>
  <si>
    <t>Total Stock Quantity</t>
  </si>
  <si>
    <t>Restock?</t>
  </si>
  <si>
    <t>Total Target Quantity</t>
  </si>
  <si>
    <t>Inventory Dashboard</t>
  </si>
  <si>
    <t>Total Restock Quantity</t>
  </si>
  <si>
    <t>Restock Quantity %</t>
  </si>
  <si>
    <t>Target Quantity %</t>
  </si>
  <si>
    <t>Source Data As Of</t>
  </si>
  <si>
    <t xml:space="preserve"> </t>
  </si>
  <si>
    <t>Introduction</t>
  </si>
  <si>
    <t>Last Updated</t>
  </si>
  <si>
    <t xml:space="preserve"> Last Updated</t>
  </si>
  <si>
    <t>Situation</t>
  </si>
  <si>
    <t xml:space="preserve">   •  Inventory was taken on paper and took over an hour to complete.</t>
  </si>
  <si>
    <t xml:space="preserve">   •  The manager struggled to stay within the owners' budget on ingredient orders.</t>
  </si>
  <si>
    <t xml:space="preserve">   •  Overstocking and ingredient waste were recurring problems.</t>
  </si>
  <si>
    <t xml:space="preserve">   •  This project was created to provide an accessible inventory and ordering system.</t>
  </si>
  <si>
    <t xml:space="preserve">   •  The system includes a dashboard, flags low stock, and order lists based on current inventory and expected demand.</t>
  </si>
  <si>
    <t xml:space="preserve">   •  The goal is to reduce waste by 15% and cut ordering costs by 15%.</t>
  </si>
  <si>
    <t>How To Use</t>
  </si>
  <si>
    <t xml:space="preserve">   1. Update Current Quantity and the Last Updated date in the Inventory Status tab.</t>
  </si>
  <si>
    <t xml:space="preserve">   2. Update the Expected Demand Selector and the Last Updated date in the Expected Demand tab.</t>
  </si>
  <si>
    <t xml:space="preserve">   3. Update Order Price and Current Order Budget as needed in the Order Overview tab.</t>
  </si>
  <si>
    <t xml:space="preserve">   4. Update Order Quantity and the Last Updated date when creating the order list.</t>
  </si>
  <si>
    <t xml:space="preserve">   5. The dashboard automatically updates KPIs and charts.</t>
  </si>
  <si>
    <t xml:space="preserve">   6. Formulas added dynamically to new rows as needed.</t>
  </si>
  <si>
    <t>Navigation</t>
  </si>
  <si>
    <t>Created By: Jameson Bortnem</t>
  </si>
  <si>
    <t>Total SKUs</t>
  </si>
  <si>
    <t>Company: Bo &amp; Vine - Eugene</t>
  </si>
  <si>
    <t>Company: Bo &amp; Vine - Eugene (Restaurant)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</si>
</sst>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$&quot;#,##0.00"/>
    <numFmt numFmtId="166" formatCode="m/d/yyyy;@"/>
  </numFmts>
  <fonts count="55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4"/>
      <color theme="3" tint="0.249977111117893"/>
      <name val="Aptos Narrow (Body)"/>
    </font>
    <font>
      <b/>
      <sz val="20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0"/>
      <name val="Aptos Narrow"/>
      <scheme val="minor"/>
    </font>
    <font>
      <b/>
      <sz val="16"/>
      <color theme="1" tint="0.34998626667073579"/>
      <name val="Aptos Narrow"/>
      <scheme val="minor"/>
    </font>
    <font>
      <b/>
      <i/>
      <sz val="12"/>
      <color theme="1" tint="0.34998626667073579"/>
      <name val="Aptos Narrow"/>
      <scheme val="minor"/>
    </font>
    <font>
      <sz val="16"/>
      <color theme="1"/>
      <name val="Aptos Narrow"/>
      <family val="2"/>
      <scheme val="minor"/>
    </font>
    <font>
      <b/>
      <sz val="36"/>
      <color theme="6" tint="-0.499984740745262"/>
      <name val="Aptos Narrow"/>
      <scheme val="minor"/>
    </font>
    <font>
      <b/>
      <sz val="16"/>
      <name val="Aptos Narrow"/>
      <scheme val="minor"/>
    </font>
    <font>
      <sz val="12"/>
      <name val="Aptos Narrow"/>
      <scheme val="minor"/>
    </font>
    <font>
      <b/>
      <sz val="18"/>
      <color theme="0"/>
      <name val="Aptos Narrow"/>
      <scheme val="minor"/>
    </font>
    <font>
      <b/>
      <sz val="12"/>
      <name val="Aptos Narrow"/>
      <scheme val="minor"/>
    </font>
    <font>
      <b/>
      <sz val="18"/>
      <color theme="1"/>
      <name val="Aptos Narrow"/>
      <scheme val="minor"/>
    </font>
    <font>
      <b/>
      <sz val="22"/>
      <color theme="0"/>
      <name val="Aptos Narrow"/>
      <scheme val="minor"/>
    </font>
    <font>
      <sz val="8"/>
      <name val="Aptos Narrow"/>
      <family val="2"/>
      <scheme val="minor"/>
    </font>
    <font>
      <sz val="12"/>
      <color theme="6" tint="-0.499984740745262"/>
      <name val="Aptos Narrow"/>
      <scheme val="minor"/>
    </font>
    <font>
      <b/>
      <sz val="18"/>
      <color theme="6" tint="-0.499984740745262"/>
      <name val="Aptos Narrow"/>
      <scheme val="minor"/>
    </font>
    <font>
      <b/>
      <sz val="22"/>
      <color theme="1"/>
      <name val="Aptos Narrow"/>
      <scheme val="minor"/>
    </font>
    <font>
      <sz val="22"/>
      <color theme="1"/>
      <name val="Aptos Narrow"/>
      <scheme val="minor"/>
    </font>
    <font>
      <b/>
      <sz val="36"/>
      <color theme="5" tint="-0.249977111117893"/>
      <name val="Aptos Narrow"/>
      <scheme val="minor"/>
    </font>
    <font>
      <b/>
      <sz val="18"/>
      <color theme="5" tint="-0.249977111117893"/>
      <name val="Aptos Narrow"/>
      <scheme val="minor"/>
    </font>
    <font>
      <b/>
      <sz val="12"/>
      <color rgb="FFFFFFFF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6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8E0006"/>
      <name val="Aptos Narrow"/>
      <family val="2"/>
      <scheme val="minor"/>
    </font>
    <font>
      <b/>
      <sz val="12"/>
      <color rgb="FF8E0006"/>
      <name val="Aptos Narrow"/>
      <scheme val="minor"/>
    </font>
    <font>
      <b/>
      <sz val="24"/>
      <color theme="4" tint="-0.249977111117893"/>
      <name val="Aptos Narrow (Body)"/>
    </font>
    <font>
      <b/>
      <sz val="18"/>
      <color theme="4" tint="-0.249977111117893"/>
      <name val="Aptos Narrow"/>
      <scheme val="minor"/>
    </font>
    <font>
      <sz val="12"/>
      <color theme="4" tint="-0.249977111117893"/>
      <name val="Aptos Narrow"/>
      <family val="2"/>
      <scheme val="minor"/>
    </font>
    <font>
      <b/>
      <i/>
      <sz val="12"/>
      <color theme="4" tint="-0.249977111117893"/>
      <name val="Aptos Narrow"/>
      <scheme val="minor"/>
    </font>
    <font>
      <b/>
      <sz val="16"/>
      <color theme="4" tint="-0.249977111117893"/>
      <name val="Aptos Narrow"/>
      <scheme val="minor"/>
    </font>
    <font>
      <b/>
      <sz val="48"/>
      <color theme="4" tint="-0.249977111117893"/>
      <name val="Aptos Narrow"/>
      <scheme val="minor"/>
    </font>
    <font>
      <sz val="16"/>
      <color theme="1"/>
      <name val="Aptos Narrow"/>
      <scheme val="minor"/>
    </font>
    <font>
      <b/>
      <sz val="16"/>
      <color theme="5" tint="-0.249977111117893"/>
      <name val="Aptos Narrow"/>
      <scheme val="minor"/>
    </font>
    <font>
      <b/>
      <sz val="16"/>
      <color theme="6" tint="-0.499984740745262"/>
      <name val="Aptos Narrow"/>
      <scheme val="minor"/>
    </font>
    <font>
      <b/>
      <sz val="36"/>
      <color theme="3" tint="0.499984740745262"/>
      <name val="Aptos Narrow"/>
      <scheme val="minor"/>
    </font>
    <font>
      <b/>
      <sz val="18"/>
      <color theme="3" tint="0.499984740745262"/>
      <name val="Aptos Narrow"/>
      <scheme val="minor"/>
    </font>
    <font>
      <sz val="12"/>
      <color theme="3" tint="0.499984740745262"/>
      <name val="Aptos Narrow"/>
      <scheme val="minor"/>
    </font>
    <font>
      <b/>
      <sz val="16"/>
      <color theme="3" tint="0.499984740745262"/>
      <name val="Aptos Narrow"/>
      <scheme val="minor"/>
    </font>
    <font>
      <b/>
      <sz val="48"/>
      <color theme="6"/>
      <name val="Aptos Narrow"/>
      <scheme val="minor"/>
    </font>
    <font>
      <sz val="12"/>
      <color theme="6"/>
      <name val="Aptos Narrow"/>
      <family val="2"/>
      <scheme val="minor"/>
    </font>
    <font>
      <b/>
      <sz val="12"/>
      <color theme="6"/>
      <name val="Aptos Narrow"/>
      <scheme val="minor"/>
    </font>
    <font>
      <b/>
      <sz val="18"/>
      <color theme="6"/>
      <name val="Aptos Narrow"/>
      <scheme val="minor"/>
    </font>
    <font>
      <b/>
      <sz val="16"/>
      <color theme="6"/>
      <name val="Aptos Narrow"/>
      <scheme val="minor"/>
    </font>
    <font>
      <b/>
      <sz val="14"/>
      <name val="Aptos Narrow"/>
      <scheme val="minor"/>
    </font>
    <font>
      <b/>
      <sz val="26"/>
      <color theme="0"/>
      <name val="Aptos Narrow"/>
      <scheme val="minor"/>
    </font>
    <font>
      <b/>
      <sz val="26"/>
      <color theme="1"/>
      <name val="Aptos Narrow"/>
      <scheme val="minor"/>
    </font>
    <font>
      <b/>
      <sz val="26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E501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28" fillId="0" borderId="0" applyFont="0" applyFill="0" applyBorder="0" applyAlignment="0" applyProtection="0"/>
    <xf numFmtId="0" fontId="53" fillId="0" borderId="0" applyNumberFormat="0" applyFill="0" applyBorder="0" applyAlignment="0" applyProtection="0"/>
  </cellStyleXfs>
  <cellXfs count="158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14" fontId="0" fillId="0" borderId="0" xfId="0" applyNumberFormat="1"/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8" fillId="0" borderId="0" xfId="0" applyFont="1"/>
    <xf numFmtId="0" fontId="19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2" fontId="15" fillId="0" borderId="0" xfId="0" applyNumberFormat="1" applyFont="1" applyAlignment="1">
      <alignment vertical="center"/>
    </xf>
    <xf numFmtId="0" fontId="21" fillId="0" borderId="0" xfId="0" applyFont="1"/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vertical="center"/>
    </xf>
    <xf numFmtId="0" fontId="16" fillId="0" borderId="0" xfId="0" applyFont="1" applyAlignment="1">
      <alignment vertical="center" wrapText="1"/>
    </xf>
    <xf numFmtId="0" fontId="1" fillId="5" borderId="3" xfId="0" applyFont="1" applyFill="1" applyBorder="1" applyAlignment="1">
      <alignment horizontal="center"/>
    </xf>
    <xf numFmtId="0" fontId="24" fillId="6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16" fillId="0" borderId="0" xfId="0" applyFont="1"/>
    <xf numFmtId="165" fontId="0" fillId="3" borderId="9" xfId="0" applyNumberForma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65" fontId="0" fillId="2" borderId="8" xfId="0" applyNumberFormat="1" applyFill="1" applyBorder="1" applyAlignment="1">
      <alignment horizontal="center" vertical="center"/>
    </xf>
    <xf numFmtId="165" fontId="0" fillId="2" borderId="10" xfId="0" applyNumberFormat="1" applyFill="1" applyBorder="1" applyAlignment="1">
      <alignment horizontal="center" vertical="center"/>
    </xf>
    <xf numFmtId="0" fontId="27" fillId="7" borderId="13" xfId="0" applyFont="1" applyFill="1" applyBorder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vertical="center"/>
    </xf>
    <xf numFmtId="0" fontId="33" fillId="0" borderId="0" xfId="0" applyFont="1"/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vertical="center" wrapText="1"/>
    </xf>
    <xf numFmtId="2" fontId="32" fillId="0" borderId="0" xfId="0" applyNumberFormat="1" applyFont="1" applyAlignment="1">
      <alignment vertical="center"/>
    </xf>
    <xf numFmtId="0" fontId="34" fillId="0" borderId="0" xfId="0" applyFont="1"/>
    <xf numFmtId="0" fontId="6" fillId="0" borderId="0" xfId="0" applyFont="1" applyAlignment="1">
      <alignment horizontal="center" vertical="center"/>
    </xf>
    <xf numFmtId="0" fontId="37" fillId="0" borderId="0" xfId="0" applyFont="1"/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0" fontId="42" fillId="0" borderId="0" xfId="0" applyFont="1"/>
    <xf numFmtId="0" fontId="43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/>
    </xf>
    <xf numFmtId="0" fontId="45" fillId="0" borderId="0" xfId="0" applyFont="1"/>
    <xf numFmtId="0" fontId="46" fillId="0" borderId="0" xfId="0" applyFont="1" applyAlignment="1">
      <alignment vertical="center"/>
    </xf>
    <xf numFmtId="0" fontId="49" fillId="3" borderId="1" xfId="0" applyFont="1" applyFill="1" applyBorder="1" applyAlignment="1">
      <alignment horizontal="center" vertical="center"/>
    </xf>
    <xf numFmtId="164" fontId="49" fillId="3" borderId="1" xfId="0" applyNumberFormat="1" applyFont="1" applyFill="1" applyBorder="1" applyAlignment="1">
      <alignment horizontal="center" vertical="center"/>
    </xf>
    <xf numFmtId="0" fontId="49" fillId="3" borderId="5" xfId="0" applyFont="1" applyFill="1" applyBorder="1" applyAlignment="1">
      <alignment horizontal="center" vertical="center"/>
    </xf>
    <xf numFmtId="164" fontId="49" fillId="3" borderId="4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7" fillId="0" borderId="0" xfId="0" applyFont="1"/>
    <xf numFmtId="0" fontId="9" fillId="3" borderId="14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 vertical="center"/>
    </xf>
    <xf numFmtId="0" fontId="50" fillId="10" borderId="9" xfId="0" applyFont="1" applyFill="1" applyBorder="1" applyAlignment="1">
      <alignment horizontal="center" vertical="center"/>
    </xf>
    <xf numFmtId="0" fontId="50" fillId="10" borderId="6" xfId="0" applyFont="1" applyFill="1" applyBorder="1" applyAlignment="1">
      <alignment horizontal="center" vertical="center"/>
    </xf>
    <xf numFmtId="0" fontId="50" fillId="10" borderId="8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top"/>
    </xf>
    <xf numFmtId="0" fontId="9" fillId="3" borderId="2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left" vertical="top"/>
    </xf>
    <xf numFmtId="0" fontId="48" fillId="0" borderId="16" xfId="0" applyFont="1" applyBorder="1" applyAlignment="1">
      <alignment horizontal="left" vertical="top"/>
    </xf>
    <xf numFmtId="0" fontId="37" fillId="3" borderId="4" xfId="0" applyFont="1" applyFill="1" applyBorder="1" applyAlignment="1">
      <alignment horizontal="left" vertical="center"/>
    </xf>
    <xf numFmtId="0" fontId="37" fillId="3" borderId="12" xfId="0" applyFont="1" applyFill="1" applyBorder="1" applyAlignment="1">
      <alignment horizontal="left" vertical="center"/>
    </xf>
    <xf numFmtId="0" fontId="37" fillId="3" borderId="5" xfId="0" applyFont="1" applyFill="1" applyBorder="1" applyAlignment="1">
      <alignment horizontal="left" vertical="center"/>
    </xf>
    <xf numFmtId="0" fontId="50" fillId="10" borderId="9" xfId="0" applyFont="1" applyFill="1" applyBorder="1" applyAlignment="1">
      <alignment horizontal="center"/>
    </xf>
    <xf numFmtId="0" fontId="50" fillId="10" borderId="6" xfId="0" applyFont="1" applyFill="1" applyBorder="1" applyAlignment="1">
      <alignment horizontal="center"/>
    </xf>
    <xf numFmtId="0" fontId="50" fillId="10" borderId="8" xfId="0" applyFont="1" applyFill="1" applyBorder="1" applyAlignment="1">
      <alignment horizontal="center"/>
    </xf>
    <xf numFmtId="0" fontId="54" fillId="3" borderId="9" xfId="2" applyFont="1" applyFill="1" applyBorder="1" applyAlignment="1">
      <alignment horizontal="center" vertical="center"/>
    </xf>
    <xf numFmtId="0" fontId="54" fillId="3" borderId="6" xfId="2" applyFont="1" applyFill="1" applyBorder="1" applyAlignment="1">
      <alignment horizontal="center" vertical="center"/>
    </xf>
    <xf numFmtId="0" fontId="54" fillId="3" borderId="8" xfId="2" applyFont="1" applyFill="1" applyBorder="1" applyAlignment="1">
      <alignment horizontal="center" vertical="center"/>
    </xf>
    <xf numFmtId="0" fontId="54" fillId="3" borderId="4" xfId="2" applyFont="1" applyFill="1" applyBorder="1" applyAlignment="1">
      <alignment horizontal="center" vertical="center"/>
    </xf>
    <xf numFmtId="0" fontId="54" fillId="3" borderId="12" xfId="0" applyFont="1" applyFill="1" applyBorder="1" applyAlignment="1">
      <alignment horizontal="center" vertical="center"/>
    </xf>
    <xf numFmtId="0" fontId="54" fillId="3" borderId="5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6" fontId="20" fillId="3" borderId="1" xfId="0" applyNumberFormat="1" applyFont="1" applyFill="1" applyBorder="1" applyAlignment="1">
      <alignment horizontal="center" vertical="center"/>
    </xf>
    <xf numFmtId="9" fontId="20" fillId="3" borderId="4" xfId="1" applyFont="1" applyFill="1" applyBorder="1" applyAlignment="1">
      <alignment horizontal="center" vertical="center"/>
    </xf>
    <xf numFmtId="9" fontId="20" fillId="3" borderId="5" xfId="1" applyFont="1" applyFill="1" applyBorder="1" applyAlignment="1">
      <alignment horizontal="center" vertical="center"/>
    </xf>
    <xf numFmtId="9" fontId="20" fillId="3" borderId="2" xfId="1" applyFont="1" applyFill="1" applyBorder="1" applyAlignment="1">
      <alignment horizontal="center" vertical="center"/>
    </xf>
    <xf numFmtId="9" fontId="20" fillId="3" borderId="3" xfId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top"/>
    </xf>
    <xf numFmtId="0" fontId="6" fillId="8" borderId="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1" fontId="20" fillId="3" borderId="4" xfId="0" applyNumberFormat="1" applyFont="1" applyFill="1" applyBorder="1" applyAlignment="1">
      <alignment horizontal="center" vertical="center"/>
    </xf>
    <xf numFmtId="1" fontId="20" fillId="3" borderId="5" xfId="0" applyNumberFormat="1" applyFont="1" applyFill="1" applyBorder="1" applyAlignment="1">
      <alignment horizontal="center" vertical="center"/>
    </xf>
    <xf numFmtId="1" fontId="20" fillId="3" borderId="2" xfId="0" applyNumberFormat="1" applyFont="1" applyFill="1" applyBorder="1" applyAlignment="1">
      <alignment horizontal="center" vertical="center"/>
    </xf>
    <xf numFmtId="1" fontId="20" fillId="3" borderId="3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/>
    </xf>
    <xf numFmtId="166" fontId="51" fillId="2" borderId="4" xfId="0" applyNumberFormat="1" applyFont="1" applyFill="1" applyBorder="1" applyAlignment="1">
      <alignment horizontal="center" vertical="center"/>
    </xf>
    <xf numFmtId="166" fontId="51" fillId="2" borderId="5" xfId="0" applyNumberFormat="1" applyFont="1" applyFill="1" applyBorder="1" applyAlignment="1">
      <alignment horizontal="center" vertical="center"/>
    </xf>
    <xf numFmtId="166" fontId="51" fillId="2" borderId="14" xfId="0" applyNumberFormat="1" applyFont="1" applyFill="1" applyBorder="1" applyAlignment="1">
      <alignment horizontal="center" vertical="center"/>
    </xf>
    <xf numFmtId="166" fontId="51" fillId="2" borderId="15" xfId="0" applyNumberFormat="1" applyFont="1" applyFill="1" applyBorder="1" applyAlignment="1">
      <alignment horizontal="center" vertical="center"/>
    </xf>
    <xf numFmtId="166" fontId="51" fillId="2" borderId="2" xfId="0" applyNumberFormat="1" applyFont="1" applyFill="1" applyBorder="1" applyAlignment="1">
      <alignment horizontal="center" vertical="center"/>
    </xf>
    <xf numFmtId="166" fontId="51" fillId="2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50" fillId="4" borderId="1" xfId="0" applyFont="1" applyFill="1" applyBorder="1" applyAlignment="1">
      <alignment horizontal="center" vertical="center" wrapText="1"/>
    </xf>
    <xf numFmtId="166" fontId="52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1" fillId="2" borderId="10" xfId="0" applyFont="1" applyFill="1" applyBorder="1" applyAlignment="1">
      <alignment horizontal="center" vertical="center"/>
    </xf>
    <xf numFmtId="0" fontId="51" fillId="2" borderId="11" xfId="0" applyFont="1" applyFill="1" applyBorder="1" applyAlignment="1">
      <alignment horizontal="center" vertical="center"/>
    </xf>
    <xf numFmtId="0" fontId="51" fillId="2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16" fillId="5" borderId="4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165" fontId="26" fillId="3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5" fontId="20" fillId="2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6" fillId="5" borderId="1" xfId="0" applyFont="1" applyFill="1" applyBorder="1" applyAlignment="1">
      <alignment horizontal="center" vertical="center" wrapText="1"/>
    </xf>
    <xf numFmtId="166" fontId="20" fillId="2" borderId="4" xfId="0" applyNumberFormat="1" applyFont="1" applyFill="1" applyBorder="1" applyAlignment="1">
      <alignment horizontal="center" vertical="center"/>
    </xf>
    <xf numFmtId="166" fontId="20" fillId="2" borderId="5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2" borderId="3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165" fontId="20" fillId="3" borderId="1" xfId="0" applyNumberFormat="1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top"/>
    </xf>
    <xf numFmtId="0" fontId="50" fillId="10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11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numFmt numFmtId="165" formatCode="&quot;$&quot;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numFmt numFmtId="165" formatCode="&quot;$&quot;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&quot;$&quot;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scheme val="minor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Aptos Narrow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8E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Total</a:t>
            </a:r>
            <a:r>
              <a:rPr lang="en-US" sz="1800" b="1" baseline="0"/>
              <a:t> Budget vs Current Order</a:t>
            </a:r>
            <a:endParaRPr lang="en-US" sz="1800" b="1"/>
          </a:p>
        </c:rich>
      </c:tx>
      <c:layout>
        <c:manualLayout>
          <c:xMode val="edge"/>
          <c:yMode val="edge"/>
          <c:x val="0.27599427148405425"/>
          <c:y val="2.9131791929350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400" u="sng"/>
                      <a:t>Total</a:t>
                    </a:r>
                    <a:r>
                      <a:rPr lang="en-US" sz="1400" u="sng" baseline="0"/>
                      <a:t> Budget </a:t>
                    </a:r>
                    <a:r>
                      <a:rPr lang="en-US" sz="1400" baseline="0"/>
                      <a:t>$6,500</a:t>
                    </a:r>
                    <a:endParaRPr lang="en-US" sz="140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4-C5CB-774A-9FD9-9DF9637621E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u="sng">
                        <a:solidFill>
                          <a:schemeClr val="bg1"/>
                        </a:solidFill>
                      </a:rPr>
                      <a:t>Current</a:t>
                    </a:r>
                    <a:r>
                      <a:rPr lang="en-US" sz="1400" b="1" u="sng" baseline="0">
                        <a:solidFill>
                          <a:schemeClr val="bg1"/>
                        </a:solidFill>
                      </a:rPr>
                      <a:t> Order </a:t>
                    </a:r>
                    <a:r>
                      <a:rPr lang="en-US" sz="1400" b="1" baseline="0">
                        <a:solidFill>
                          <a:schemeClr val="bg1"/>
                        </a:solidFill>
                      </a:rPr>
                      <a:t>$6,411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5-C5CB-774A-9FD9-9DF9637621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('Order Overview'!$G$5,'Order Overview'!$G$7)</c:f>
              <c:numCache>
                <c:formatCode>"$"#,##0.00</c:formatCode>
                <c:ptCount val="2"/>
                <c:pt idx="0">
                  <c:v>6500</c:v>
                </c:pt>
                <c:pt idx="1">
                  <c:v>6411.24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8-6A42-8CA6-342D1814B620}"/>
            </c:ext>
          </c:extLst>
        </c:ser>
        <c:ser>
          <c:idx val="1"/>
          <c:order val="1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('Order Overview'!$H$5,'Order Overview'!$H$7)</c:f>
              <c:numCache>
                <c:formatCode>"$"#,##0.00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0B98-6A42-8CA6-342D1814B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"/>
        <c:axId val="1584851359"/>
        <c:axId val="1584853071"/>
      </c:barChart>
      <c:catAx>
        <c:axId val="15848513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4853071"/>
        <c:crosses val="autoZero"/>
        <c:auto val="1"/>
        <c:lblAlgn val="ctr"/>
        <c:lblOffset val="100"/>
        <c:tickLblSkip val="1"/>
        <c:noMultiLvlLbl val="0"/>
      </c:catAx>
      <c:valAx>
        <c:axId val="1584853071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85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cap="none" baseline="0"/>
              <a:t>Restock Quantity vs Target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021-B04B-93B7-B256D5632BFD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021-B04B-93B7-B256D5632BFD}"/>
              </c:ext>
            </c:extLst>
          </c:dPt>
          <c:dLbls>
            <c:dLbl>
              <c:idx val="0"/>
              <c:layout>
                <c:manualLayout>
                  <c:x val="7.5766876655732326E-2"/>
                  <c:y val="-9.285715808961629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Target Quantity
</a:t>
                    </a:r>
                    <a:fld id="{D3C01378-F527-BC45-8450-76333E70C7B7}" type="PERCENTAGE">
                      <a:rPr lang="en-US" baseline="0"/>
                      <a:pPr>
                        <a:defRPr sz="1600"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B021-B04B-93B7-B256D5632BFD}"/>
                </c:ext>
              </c:extLst>
            </c:dLbl>
            <c:dLbl>
              <c:idx val="1"/>
              <c:layout>
                <c:manualLayout>
                  <c:x val="-1.6947853988782232E-2"/>
                  <c:y val="3.869063486207445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Restock Quantity
</a:t>
                    </a:r>
                    <a:fld id="{32F5A234-254C-E549-9F66-02F588FDEC6D}" type="PERCENTAGE">
                      <a:rPr lang="en-US" baseline="0"/>
                      <a:pPr>
                        <a:defRPr sz="1600"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45009229868791"/>
                      <c:h val="0.2099732487301448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B021-B04B-93B7-B256D5632B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spc="0" baseline="0">
                    <a:solidFill>
                      <a:schemeClr val="accent1">
                        <a:shade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(Dashboard!$N$10,Dashboard!$Q$10)</c:f>
              <c:numCache>
                <c:formatCode>0%</c:formatCode>
                <c:ptCount val="2"/>
                <c:pt idx="0">
                  <c:v>0.43283582089552236</c:v>
                </c:pt>
                <c:pt idx="1">
                  <c:v>0.56716417910447758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1-B04B-93B7-B256D5632BF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021-B04B-93B7-B256D5632BFD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021-B04B-93B7-B256D5632BF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B021-B04B-93B7-B256D5632BF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021-B04B-93B7-B256D5632BF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Dashboard!$N$9:$O$9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B021-B04B-93B7-B256D5632BFD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021-B04B-93B7-B256D5632BFD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021-B04B-93B7-B256D5632BF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B021-B04B-93B7-B256D5632BF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021-B04B-93B7-B256D5632BF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Dashboard!$Q$8:$R$8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21-B04B-93B7-B256D5632BFD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021-B04B-93B7-B256D5632BFD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021-B04B-93B7-B256D5632BF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B021-B04B-93B7-B256D5632BF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021-B04B-93B7-B256D5632BF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Dashboard!$Q$9:$R$9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B021-B04B-93B7-B256D5632BFD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021-B04B-93B7-B256D5632BFD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021-B04B-93B7-B256D5632BF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B021-B04B-93B7-B256D5632BF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B021-B04B-93B7-B256D5632BF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Dashboard!$Q$10:$R$10</c:f>
              <c:numCache>
                <c:formatCode>0%</c:formatCode>
                <c:ptCount val="2"/>
                <c:pt idx="0">
                  <c:v>0.56716417910447758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21-B04B-93B7-B256D5632BFD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B021-B04B-93B7-B256D5632BFD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021-B04B-93B7-B256D5632BF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B021-B04B-93B7-B256D5632BF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021-B04B-93B7-B256D5632BF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Dashboard!$Q$11:$R$11</c:f>
              <c:numCache>
                <c:formatCode>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B021-B04B-93B7-B256D5632BF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87922</xdr:colOff>
      <xdr:row>0</xdr:row>
      <xdr:rowOff>146539</xdr:rowOff>
    </xdr:from>
    <xdr:to>
      <xdr:col>16</xdr:col>
      <xdr:colOff>232832</xdr:colOff>
      <xdr:row>4</xdr:row>
      <xdr:rowOff>68385</xdr:rowOff>
    </xdr:to>
    <xdr:pic>
      <xdr:nvPicPr>
        <xdr:cNvPr id="2" name="dimg_s--EaZ_eKfO_p84P-qivsAg_69" descr="Bo &amp; Vine Burger Bar – Tipping Media">
          <a:extLst>
            <a:ext uri="{FF2B5EF4-FFF2-40B4-BE49-F238E27FC236}">
              <a16:creationId xmlns:a16="http://schemas.microsoft.com/office/drawing/2014/main" id="{F7BCD21C-9749-7344-B134-6100221D59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8691" y="146539"/>
          <a:ext cx="975295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0</xdr:colOff>
      <xdr:row>1</xdr:row>
      <xdr:rowOff>9769</xdr:rowOff>
    </xdr:from>
    <xdr:to>
      <xdr:col>14</xdr:col>
      <xdr:colOff>242602</xdr:colOff>
      <xdr:row>6</xdr:row>
      <xdr:rowOff>0</xdr:rowOff>
    </xdr:to>
    <xdr:pic>
      <xdr:nvPicPr>
        <xdr:cNvPr id="2" name="dimg_s--EaZ_eKfO_p84P-qivsAg_69" descr="Bo &amp; Vine Burger Bar – Tipping Media">
          <a:extLst>
            <a:ext uri="{FF2B5EF4-FFF2-40B4-BE49-F238E27FC236}">
              <a16:creationId xmlns:a16="http://schemas.microsoft.com/office/drawing/2014/main" id="{1C0DD9AB-19A0-8A40-ABFD-32B65973B5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7462" y="234461"/>
          <a:ext cx="1258602" cy="1123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 fPrintsWithSheet="0"/>
  </xdr:twoCellAnchor>
  <xdr:twoCellAnchor>
    <xdr:from>
      <xdr:col>1</xdr:col>
      <xdr:colOff>0</xdr:colOff>
      <xdr:row>12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BA0EBC-7A7D-BA68-11A4-3CCE08294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18</xdr:col>
      <xdr:colOff>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9014DC-A276-8E1B-B409-6567F49E3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1115321</xdr:colOff>
      <xdr:row>0</xdr:row>
      <xdr:rowOff>214923</xdr:rowOff>
    </xdr:from>
    <xdr:to>
      <xdr:col>3</xdr:col>
      <xdr:colOff>928077</xdr:colOff>
      <xdr:row>5</xdr:row>
      <xdr:rowOff>146539</xdr:rowOff>
    </xdr:to>
    <xdr:pic>
      <xdr:nvPicPr>
        <xdr:cNvPr id="2" name="dimg_s--EaZ_eKfO_p84P-qivsAg_69" descr="Bo &amp; Vine Burger Bar – Tipping Media">
          <a:extLst>
            <a:ext uri="{FF2B5EF4-FFF2-40B4-BE49-F238E27FC236}">
              <a16:creationId xmlns:a16="http://schemas.microsoft.com/office/drawing/2014/main" id="{D12CA4E0-384A-8278-C0D0-B29B4493405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3552" y="214923"/>
          <a:ext cx="1258602" cy="1123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1484923</xdr:colOff>
      <xdr:row>1</xdr:row>
      <xdr:rowOff>0</xdr:rowOff>
    </xdr:from>
    <xdr:to>
      <xdr:col>2</xdr:col>
      <xdr:colOff>2743525</xdr:colOff>
      <xdr:row>5</xdr:row>
      <xdr:rowOff>156308</xdr:rowOff>
    </xdr:to>
    <xdr:pic>
      <xdr:nvPicPr>
        <xdr:cNvPr id="2" name="dimg_s--EaZ_eKfO_p84P-qivsAg_69" descr="Bo &amp; Vine Burger Bar – Tipping Media">
          <a:extLst>
            <a:ext uri="{FF2B5EF4-FFF2-40B4-BE49-F238E27FC236}">
              <a16:creationId xmlns:a16="http://schemas.microsoft.com/office/drawing/2014/main" id="{C3295863-0965-5843-AFD2-38E81973B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5077" y="224692"/>
          <a:ext cx="1258602" cy="1123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1484923</xdr:colOff>
      <xdr:row>2</xdr:row>
      <xdr:rowOff>78154</xdr:rowOff>
    </xdr:from>
    <xdr:to>
      <xdr:col>3</xdr:col>
      <xdr:colOff>1024141</xdr:colOff>
      <xdr:row>6</xdr:row>
      <xdr:rowOff>58616</xdr:rowOff>
    </xdr:to>
    <xdr:pic>
      <xdr:nvPicPr>
        <xdr:cNvPr id="2" name="dimg_s--EaZ_eKfO_p84P-qivsAg_69" descr="Bo &amp; Vine Burger Bar – Tipping Media">
          <a:extLst>
            <a:ext uri="{FF2B5EF4-FFF2-40B4-BE49-F238E27FC236}">
              <a16:creationId xmlns:a16="http://schemas.microsoft.com/office/drawing/2014/main" id="{477B9F84-E200-6E49-9B19-84345ACA6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5154" y="527539"/>
          <a:ext cx="1258602" cy="1123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 fPrintsWithSheet="0"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2EB2B9-8F5F-6540-B2EF-D54AA8287E7B}" autoFormatId="16" applyNumberFormats="0" applyBorderFormats="0" applyFontFormats="0" applyPatternFormats="0" applyAlignmentFormats="0" applyWidthHeightFormats="0">
  <queryTableRefresh nextId="25" unboundColumnsRight="1">
    <queryTableFields count="7">
      <queryTableField id="3" name="Column3" tableColumnId="3"/>
      <queryTableField id="21" dataBound="0" tableColumnId="20"/>
      <queryTableField id="23" dataBound="0" tableColumnId="21"/>
      <queryTableField id="4" name="Column4" tableColumnId="4"/>
      <queryTableField id="5" name="Column5" tableColumnId="5"/>
      <queryTableField id="10" name="Column10" tableColumnId="10"/>
      <queryTableField id="20" dataBound="0" tableColumnId="19"/>
    </queryTableFields>
    <queryTableDeletedFields count="12">
      <deletedField name="Column1"/>
      <deletedField name="Column16"/>
      <deletedField name="Column13"/>
      <deletedField name="Column6"/>
      <deletedField name="Column9"/>
      <deletedField name="Column14"/>
      <deletedField name="Column8"/>
      <deletedField name="Column7"/>
      <deletedField name="Column11"/>
      <deletedField name="Column12"/>
      <deletedField name="Column15"/>
      <deletedField name="Column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04603FF2-27CE-344A-987F-12974BAAB7B6}" autoFormatId="16" applyNumberFormats="0" applyBorderFormats="0" applyFontFormats="0" applyPatternFormats="0" applyAlignmentFormats="0" applyWidthHeightFormats="0">
  <queryTableRefresh nextId="25" unboundColumnsRight="1">
    <queryTableFields count="7">
      <queryTableField id="3" name="Column3" tableColumnId="3"/>
      <queryTableField id="21" dataBound="0" tableColumnId="20"/>
      <queryTableField id="23" dataBound="0" tableColumnId="21"/>
      <queryTableField id="4" name="Column4" tableColumnId="4"/>
      <queryTableField id="5" name="Column5" tableColumnId="5"/>
      <queryTableField id="10" name="Column10" tableColumnId="10"/>
      <queryTableField id="20" dataBound="0" tableColumnId="19"/>
    </queryTableFields>
    <queryTableDeletedFields count="12">
      <deletedField name="Column1"/>
      <deletedField name="Column16"/>
      <deletedField name="Column13"/>
      <deletedField name="Column6"/>
      <deletedField name="Column9"/>
      <deletedField name="Column14"/>
      <deletedField name="Column8"/>
      <deletedField name="Column7"/>
      <deletedField name="Column11"/>
      <deletedField name="Column12"/>
      <deletedField name="Column15"/>
      <deletedField name="Column2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1" xr16:uid="{015D36B3-08FE-E845-8CBB-5D0D941C3779}" autoFormatId="16" applyNumberFormats="0" applyBorderFormats="0" applyFontFormats="0" applyPatternFormats="0" applyAlignmentFormats="0" applyWidthHeightFormats="0">
  <queryTableRefresh nextId="25" unboundColumnsRight="1">
    <queryTableFields count="7">
      <queryTableField id="3" name="Column3" tableColumnId="3"/>
      <queryTableField id="21" dataBound="0" tableColumnId="20"/>
      <queryTableField id="23" dataBound="0" tableColumnId="21"/>
      <queryTableField id="4" name="Column4" tableColumnId="4"/>
      <queryTableField id="5" name="Column5" tableColumnId="5"/>
      <queryTableField id="10" name="Column10" tableColumnId="10"/>
      <queryTableField id="20" dataBound="0" tableColumnId="19"/>
    </queryTableFields>
    <queryTableDeletedFields count="12">
      <deletedField name="Column1"/>
      <deletedField name="Column16"/>
      <deletedField name="Column13"/>
      <deletedField name="Column6"/>
      <deletedField name="Column9"/>
      <deletedField name="Column14"/>
      <deletedField name="Column8"/>
      <deletedField name="Column7"/>
      <deletedField name="Column11"/>
      <deletedField name="Column12"/>
      <deletedField name="Column15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41E29F-F436-8C43-82BC-7C6D738BD352}" name="frozeninventory" displayName="frozeninventory" ref="B9:H26" tableType="queryTable" totalsRowShown="0" headerRowDxfId="111" dataDxfId="109" headerRowBorderDxfId="110" tableBorderDxfId="108">
  <autoFilter ref="B9:H26" xr:uid="{B641E29F-F436-8C43-82BC-7C6D738BD352}"/>
  <sortState xmlns:xlrd2="http://schemas.microsoft.com/office/spreadsheetml/2017/richdata2" ref="B10:H26">
    <sortCondition ref="C9:C26"/>
  </sortState>
  <tableColumns count="7">
    <tableColumn id="3" xr3:uid="{325CF064-C456-474A-AE81-7585714EEA34}" uniqueName="3" name="Item" queryTableFieldId="3" dataDxfId="107"/>
    <tableColumn id="20" xr3:uid="{ADAD1DED-CE98-A441-82F7-13E890ADB0FD}" uniqueName="20" name="Category" queryTableFieldId="21" dataDxfId="106"/>
    <tableColumn id="21" xr3:uid="{240A560E-5AD2-F645-A977-6602EFEC5AFA}" uniqueName="21" name="Unit Type" queryTableFieldId="23" dataDxfId="105"/>
    <tableColumn id="4" xr3:uid="{8C75ADCA-CE85-FC43-889B-DEE515BA9801}" uniqueName="4" name="Current Quantity" queryTableFieldId="4" dataDxfId="104"/>
    <tableColumn id="5" xr3:uid="{0588588A-CEFE-5341-8E54-3EC286A28285}" uniqueName="5" name="Target Quantity" queryTableFieldId="5" dataDxfId="103"/>
    <tableColumn id="10" xr3:uid="{C3F8BA5E-63E3-E84A-BA83-81E0C8B72ECC}" uniqueName="10" name="Needed Quantity" queryTableFieldId="10" dataDxfId="102"/>
    <tableColumn id="19" xr3:uid="{38C67CB9-0884-5645-B72B-7395EF3F28E7}" uniqueName="19" name="Restock?" queryTableFieldId="20" dataDxfId="101">
      <calculatedColumnFormula>IF(frozeninventory[[#This Row],[Needed Quantity]]&gt;0, "YES","NO")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68002EB-04E5-DB4A-B7CD-6B7273DE8B12}" name="refridgeratedinventory" displayName="refridgeratedinventory" ref="B29:H73" tableType="queryTable" totalsRowShown="0" headerRowDxfId="100" dataDxfId="98" headerRowBorderDxfId="99" tableBorderDxfId="97">
  <autoFilter ref="B29:H73" xr:uid="{B68002EB-04E5-DB4A-B7CD-6B7273DE8B12}"/>
  <sortState xmlns:xlrd2="http://schemas.microsoft.com/office/spreadsheetml/2017/richdata2" ref="B30:H73">
    <sortCondition ref="C29:C73"/>
  </sortState>
  <tableColumns count="7">
    <tableColumn id="3" xr3:uid="{BD51E89C-5221-964A-9472-809C2BF36AC6}" uniqueName="3" name="Item" queryTableFieldId="3" dataDxfId="96"/>
    <tableColumn id="20" xr3:uid="{E63C6BC2-D3D4-EF4A-9775-219FA21008BF}" uniqueName="20" name="Category" queryTableFieldId="21" dataDxfId="95"/>
    <tableColumn id="21" xr3:uid="{00C6B616-9B0C-9442-89C7-F92ED2BD06AA}" uniqueName="21" name="Unit Type" queryTableFieldId="23" dataDxfId="94"/>
    <tableColumn id="4" xr3:uid="{79B294C3-95A1-1C47-ABBD-BF1312AA0A0D}" uniqueName="4" name="Current Quantity" queryTableFieldId="4" dataDxfId="93"/>
    <tableColumn id="5" xr3:uid="{887A62B6-6485-9C44-8383-F1DC80282A3C}" uniqueName="5" name="Target Quantity" queryTableFieldId="5" dataDxfId="92"/>
    <tableColumn id="10" xr3:uid="{703B2055-EDAC-D849-9C1D-70AC3F6759AA}" uniqueName="10" name="Quantity Needed" queryTableFieldId="10" dataDxfId="91"/>
    <tableColumn id="19" xr3:uid="{75B9801B-D189-FB49-B41C-53D9FDD3FE20}" uniqueName="19" name="Reorder?" queryTableFieldId="20" dataDxfId="90">
      <calculatedColumnFormula>IF(refridgeratedinventory[[#This Row],[Quantity Needed]]&gt;0, "YES","NO")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FE57B44-03A3-1B43-B793-0E93E484CED7}" name="dryinventory" displayName="dryinventory" ref="B76:H158" tableType="queryTable" totalsRowShown="0" headerRowDxfId="89" dataDxfId="87" headerRowBorderDxfId="88" tableBorderDxfId="86">
  <autoFilter ref="B76:H158" xr:uid="{7FE57B44-03A3-1B43-B793-0E93E484CED7}"/>
  <sortState xmlns:xlrd2="http://schemas.microsoft.com/office/spreadsheetml/2017/richdata2" ref="B77:H158">
    <sortCondition ref="C76:C158"/>
  </sortState>
  <tableColumns count="7">
    <tableColumn id="3" xr3:uid="{BA0DB372-52A4-774C-8D37-272879ED415A}" uniqueName="3" name="Item" queryTableFieldId="3" dataDxfId="85"/>
    <tableColumn id="20" xr3:uid="{4DF57D06-B22D-9B45-98EE-E3B39ED6E647}" uniqueName="20" name="Category" queryTableFieldId="21" dataDxfId="84"/>
    <tableColumn id="21" xr3:uid="{5DC876A8-C316-6647-8730-05BD3834B2E1}" uniqueName="21" name="Unit Type" queryTableFieldId="23" dataDxfId="83"/>
    <tableColumn id="4" xr3:uid="{F16C111D-7F62-7442-9600-57CDC6B97355}" uniqueName="4" name="Current Quantity" queryTableFieldId="4" dataDxfId="82"/>
    <tableColumn id="5" xr3:uid="{3F4219B5-AF1E-A248-A7B7-25DCF6BEFC75}" uniqueName="5" name="Target Quantity" queryTableFieldId="5" dataDxfId="81"/>
    <tableColumn id="10" xr3:uid="{5A7FD338-CEF9-A74D-BDF0-93A3E00D2B81}" uniqueName="10" name="Quantity Needed" queryTableFieldId="10" dataDxfId="80"/>
    <tableColumn id="19" xr3:uid="{3833CB3A-662B-C843-9B30-E56A4C81BC4B}" uniqueName="19" name="Reorder?" queryTableFieldId="20" dataDxfId="79">
      <calculatedColumnFormula>IF(dryinventory[[#This Row],[Quantity Needed]]&gt;0, "YES","NO")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B8DBE8A-14DF-AC41-B512-205FBA01C2E6}" name="Table33" displayName="Table33" ref="B20:C23" totalsRowShown="0" headerRowDxfId="78" dataDxfId="77" tableBorderDxfId="76" totalsRowBorderDxfId="75">
  <autoFilter ref="B20:C23" xr:uid="{1B8DBE8A-14DF-AC41-B512-205FBA01C2E6}">
    <filterColumn colId="0" hiddenButton="1"/>
    <filterColumn colId="1" hiddenButton="1"/>
  </autoFilter>
  <tableColumns count="2">
    <tableColumn id="1" xr3:uid="{4BCB1162-CF1B-F843-BC6B-5AAC18E0C52C}" name="Demand Level" dataDxfId="74"/>
    <tableColumn id="2" xr3:uid="{32EF4C94-BFA6-8946-9E63-E0CA36099B4F}" name="Multiplier" dataDxfId="7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0FAE131-A646-F74F-AA1B-90D9F431DDB8}" name="frozenorder" displayName="frozenorder" ref="B10:H27" headerRowDxfId="72" dataDxfId="70" headerRowBorderDxfId="71" tableBorderDxfId="69" totalsRowBorderDxfId="68">
  <autoFilter ref="B10:H27" xr:uid="{C0FAE131-A646-F74F-AA1B-90D9F431DDB8}"/>
  <tableColumns count="7">
    <tableColumn id="1" xr3:uid="{D7AD6198-18F7-1641-8AE9-D9886B30A175}" name="Items Needed" totalsRowLabel="Total" dataDxfId="67" totalsRowDxfId="66">
      <calculatedColumnFormula>IF('Inventory Status'!B10="","",'Inventory Status'!B10)</calculatedColumnFormula>
    </tableColumn>
    <tableColumn id="2" xr3:uid="{1C731D82-9301-2E48-9010-02DE8D4C61A3}" name="Category" dataDxfId="65" totalsRowDxfId="64">
      <calculatedColumnFormula>IF('Inventory Status'!C10="","",'Inventory Status'!C10)</calculatedColumnFormula>
    </tableColumn>
    <tableColumn id="3" xr3:uid="{30A47185-639A-6944-9D7E-0A4BC875FC4E}" name="Unit Type" dataDxfId="63" totalsRowDxfId="62">
      <calculatedColumnFormula>IF('Inventory Status'!D10="","",'Inventory Status'!D10)</calculatedColumnFormula>
    </tableColumn>
    <tableColumn id="5" xr3:uid="{B1634218-5E50-2046-A755-630D1976B007}" name="Needed Quantity (W/ Multiplier)" dataDxfId="61" totalsRowDxfId="60">
      <calculatedColumnFormula>IF('Inventory Status'!G10="","",'Inventory Status'!G10)*_xlfn.XLOOKUP('Expected Demand'!$C$13,Table33[Demand Level],Table33[Multiplier])</calculatedColumnFormula>
    </tableColumn>
    <tableColumn id="4" xr3:uid="{157A63CE-E14F-B44B-9154-FD9A55C1106A}" name="Order Price" dataDxfId="59" totalsRowDxfId="58"/>
    <tableColumn id="6" xr3:uid="{5C4FABA1-1AF8-DA4A-A909-86B04D8E2A3F}" name="Order Quantity" dataDxfId="57" totalsRowDxfId="56"/>
    <tableColumn id="7" xr3:uid="{E83B552D-DFA4-CA4A-883B-0C6B4C525206}" name="Line Price" totalsRowFunction="sum" dataDxfId="55" totalsRowDxfId="54">
      <calculatedColumnFormula>IF(frozenorder[[#This Row],[Order Price]]*frozenorder[[#This Row],[Order Quantity]]=0, "",frozenorder[[#This Row],[Order Price]]*frozenorder[[#This Row],[Order Quantity]])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B13E8-BA2D-A04A-9344-534C9D8AF7F4}" name="refridgeratedorder" displayName="refridgeratedorder" ref="B32:H76" totalsRowShown="0" headerRowDxfId="53" dataDxfId="51" headerRowBorderDxfId="52" tableBorderDxfId="50">
  <autoFilter ref="B32:H76" xr:uid="{9A1B13E8-BA2D-A04A-9344-534C9D8AF7F4}"/>
  <tableColumns count="7">
    <tableColumn id="1" xr3:uid="{A6F11C11-4526-0841-9405-1EFE82BF99F7}" name="Items Needed" dataDxfId="49">
      <calculatedColumnFormula>IF('Inventory Status'!B30="","",'Inventory Status'!B30)</calculatedColumnFormula>
    </tableColumn>
    <tableColumn id="2" xr3:uid="{A0BA8D5A-5274-3D44-B2B7-0B5E089DB7CB}" name="Category" dataDxfId="48">
      <calculatedColumnFormula>IF('Inventory Status'!C30="","",'Inventory Status'!C30)</calculatedColumnFormula>
    </tableColumn>
    <tableColumn id="3" xr3:uid="{8BB8906E-EB89-A146-BAF3-773743DC8373}" name="Unit Type" dataDxfId="47"/>
    <tableColumn id="4" xr3:uid="{A9C3C756-2E15-374E-95D5-13FC021FABF2}" name="Needed Quantity (W/ Multiplier)" dataDxfId="46">
      <calculatedColumnFormula>IF('Inventory Status'!G30*_xlfn.XLOOKUP('Expected Demand'!$C$13,Table33[Demand Level],Table33[Multiplier])="","",'Inventory Status'!G30*_xlfn.XLOOKUP('Expected Demand'!$C$13,Table33[Demand Level],Table33[Multiplier]))</calculatedColumnFormula>
    </tableColumn>
    <tableColumn id="5" xr3:uid="{1A652F67-1B45-B34F-B63C-142E5FC74FB7}" name="Order Price" dataDxfId="45"/>
    <tableColumn id="6" xr3:uid="{CED380C9-F3A1-A24F-A6E8-C3D11D6CB9B0}" name="Order Quantity" dataDxfId="44"/>
    <tableColumn id="7" xr3:uid="{0AE2A307-264B-2247-98D7-EE960CF46A74}" name="Line Price" dataDxfId="43">
      <calculatedColumnFormula>IF(refridgeratedorder[[#This Row],[Order Price]]*refridgeratedorder[[#This Row],[Order Quantity]]=0, "",refridgeratedorder[[#This Row],[Order Price]]*refridgeratedorder[[#This Row],[Order Quantity]])</calculatedColumnFormula>
    </tableColumn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EEB263-F17E-3D4E-8B3F-5D9289AAA7F7}" name="dryorder" displayName="dryorder" ref="B81:H163" totalsRowShown="0" headerRowDxfId="42" dataDxfId="40" headerRowBorderDxfId="41" tableBorderDxfId="39">
  <autoFilter ref="B81:H163" xr:uid="{F9EEB263-F17E-3D4E-8B3F-5D9289AAA7F7}"/>
  <tableColumns count="7">
    <tableColumn id="1" xr3:uid="{4D6FBC08-6B93-2B4B-9BA5-761E4BF0E203}" name="Items Needed" dataDxfId="38"/>
    <tableColumn id="2" xr3:uid="{1B387C79-31A5-634D-976B-90C27F4065C2}" name="Category" dataDxfId="37">
      <calculatedColumnFormula>IF('Inventory Status'!C77="","",'Inventory Status'!C77)</calculatedColumnFormula>
    </tableColumn>
    <tableColumn id="3" xr3:uid="{ED2F3E20-06CE-2A40-BEC3-9D0BBF3848D4}" name="Unit Type" dataDxfId="36">
      <calculatedColumnFormula>IF('Inventory Status'!D77="","",'Inventory Status'!D77)</calculatedColumnFormula>
    </tableColumn>
    <tableColumn id="4" xr3:uid="{6CE5FF86-34A5-6A49-841D-A59C00268248}" name="Needed Quantity (W/ Multiplier)" dataDxfId="35">
      <calculatedColumnFormula>IF('Inventory Status'!G77*_xlfn.XLOOKUP('Expected Demand'!$C$13,Table33[Demand Level],Table33[Multiplier])="","",'Inventory Status'!G77*_xlfn.XLOOKUP('Expected Demand'!$C$13,Table33[Demand Level],Table33[Multiplier]))</calculatedColumnFormula>
    </tableColumn>
    <tableColumn id="5" xr3:uid="{1F693496-416B-8048-B4B4-A4976E388256}" name="Order Price" dataDxfId="34"/>
    <tableColumn id="6" xr3:uid="{0EDD8CED-70F3-4344-809D-313EF04D1934}" name="Order Quantity" dataDxfId="33"/>
    <tableColumn id="7" xr3:uid="{9FFAE22C-3385-964D-8D6C-64AD41921877}" name="Line Price" dataDxfId="32">
      <calculatedColumnFormula>IF(dryorder[[#This Row],[Order Price]]*dryorder[[#This Row],[Order Quantity]]=0, "",dryorder[[#This Row],[Order Price]]*dryorder[[#This Row],[Order Quantity]])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7A94-1B8D-634E-85E1-F03444D7C669}">
  <sheetPr>
    <tabColor theme="6"/>
  </sheetPr>
  <dimension ref="A1:Q21"/>
  <sheetViews>
    <sheetView showGridLines="0" showRowColHeaders="0" tabSelected="1" zoomScale="130" zoomScaleNormal="130" workbookViewId="0">
      <selection activeCell="D20" sqref="D20"/>
    </sheetView>
  </sheetViews>
  <sheetFormatPr baseColWidth="10" defaultRowHeight="16"/>
  <cols>
    <col min="1" max="1" width="4.1640625" customWidth="1"/>
    <col min="4" max="4" width="17.1640625" customWidth="1"/>
    <col min="5" max="5" width="3" customWidth="1"/>
  </cols>
  <sheetData>
    <row r="1" spans="1:17" ht="18" customHeight="1">
      <c r="A1" s="2"/>
      <c r="B1" s="74" t="s">
        <v>198</v>
      </c>
      <c r="C1" s="74"/>
      <c r="D1" s="74"/>
      <c r="E1" s="74"/>
      <c r="F1" s="74"/>
      <c r="G1" s="74"/>
      <c r="H1" s="74"/>
      <c r="I1" s="74"/>
      <c r="J1" s="79" t="s">
        <v>219</v>
      </c>
      <c r="K1" s="79"/>
      <c r="L1" s="79"/>
      <c r="M1" s="79"/>
      <c r="N1" s="79"/>
    </row>
    <row r="2" spans="1:17" ht="23" customHeight="1">
      <c r="A2" s="2"/>
      <c r="B2" s="74"/>
      <c r="C2" s="74"/>
      <c r="D2" s="74"/>
      <c r="E2" s="74"/>
      <c r="F2" s="74"/>
      <c r="G2" s="74"/>
      <c r="H2" s="74"/>
      <c r="I2" s="74"/>
      <c r="J2" s="79"/>
      <c r="K2" s="79"/>
      <c r="L2" s="79"/>
      <c r="M2" s="79"/>
      <c r="N2" s="79"/>
      <c r="O2" s="64"/>
    </row>
    <row r="3" spans="1:17" ht="18" customHeight="1">
      <c r="A3" s="2"/>
      <c r="B3" s="74"/>
      <c r="C3" s="74"/>
      <c r="D3" s="74"/>
      <c r="E3" s="74"/>
      <c r="F3" s="74"/>
      <c r="G3" s="74"/>
      <c r="H3" s="74"/>
      <c r="I3" s="74"/>
    </row>
    <row r="4" spans="1:17" ht="18" customHeight="1">
      <c r="A4" s="2"/>
      <c r="B4" s="57"/>
      <c r="C4" s="57"/>
      <c r="D4" s="58"/>
      <c r="E4" s="58"/>
      <c r="F4" s="57"/>
      <c r="G4" s="57"/>
      <c r="H4" s="57"/>
      <c r="I4" s="57"/>
      <c r="J4" s="80" t="s">
        <v>216</v>
      </c>
      <c r="K4" s="80"/>
      <c r="L4" s="80"/>
      <c r="M4" s="80"/>
      <c r="N4" s="80"/>
    </row>
    <row r="5" spans="1:17" ht="19" customHeight="1">
      <c r="A5" s="2"/>
      <c r="B5" s="78"/>
      <c r="C5" s="78"/>
      <c r="D5" s="78"/>
      <c r="E5" s="78"/>
      <c r="F5" s="78"/>
      <c r="G5" s="78"/>
      <c r="H5" s="57"/>
      <c r="I5" s="57"/>
      <c r="J5" s="81"/>
      <c r="K5" s="81"/>
      <c r="L5" s="81"/>
      <c r="M5" s="81"/>
      <c r="N5" s="81"/>
    </row>
    <row r="6" spans="1:17" ht="33" customHeight="1">
      <c r="B6" s="71" t="s">
        <v>215</v>
      </c>
      <c r="C6" s="72"/>
      <c r="D6" s="73"/>
      <c r="F6" s="71" t="s">
        <v>201</v>
      </c>
      <c r="G6" s="72"/>
      <c r="H6" s="72"/>
      <c r="I6" s="72"/>
      <c r="J6" s="72"/>
      <c r="K6" s="72"/>
      <c r="L6" s="72"/>
      <c r="M6" s="72"/>
      <c r="N6" s="72"/>
      <c r="O6" s="72"/>
      <c r="P6" s="72"/>
      <c r="Q6" s="73"/>
    </row>
    <row r="7" spans="1:17" ht="25" customHeight="1">
      <c r="B7" s="91" t="str">
        <f>HYPERLINK("#'Dashboard'!A1","Inventory Overview → Dashboard ")</f>
        <v xml:space="preserve">Inventory Overview → Dashboard </v>
      </c>
      <c r="C7" s="92"/>
      <c r="D7" s="93"/>
      <c r="F7" s="68" t="s">
        <v>202</v>
      </c>
      <c r="G7" s="69"/>
      <c r="H7" s="69"/>
      <c r="I7" s="69"/>
      <c r="J7" s="69"/>
      <c r="K7" s="69"/>
      <c r="L7" s="69"/>
      <c r="M7" s="69"/>
      <c r="N7" s="69"/>
      <c r="O7" s="69"/>
      <c r="P7" s="69"/>
      <c r="Q7" s="70"/>
    </row>
    <row r="8" spans="1:17" ht="25" customHeight="1">
      <c r="B8" s="88" t="str">
        <f>HYPERLINK("#'Inventory Status'!A1","Data Entry → Inventory Status")</f>
        <v>Data Entry → Inventory Status</v>
      </c>
      <c r="C8" s="89"/>
      <c r="D8" s="90"/>
      <c r="F8" s="65" t="s">
        <v>203</v>
      </c>
      <c r="G8" s="66"/>
      <c r="H8" s="66"/>
      <c r="I8" s="66"/>
      <c r="J8" s="66"/>
      <c r="K8" s="66"/>
      <c r="L8" s="66"/>
      <c r="M8" s="66"/>
      <c r="N8" s="66"/>
      <c r="O8" s="66"/>
      <c r="P8" s="66"/>
      <c r="Q8" s="67"/>
    </row>
    <row r="9" spans="1:17" ht="25" customHeight="1">
      <c r="B9" s="88" t="str">
        <f>HYPERLINK("#'Expected Demand'!A1","Demand Multiplier → Expected Demand")</f>
        <v>Demand Multiplier → Expected Demand</v>
      </c>
      <c r="C9" s="89"/>
      <c r="D9" s="90"/>
      <c r="F9" s="65" t="s">
        <v>204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7"/>
    </row>
    <row r="10" spans="1:17" ht="25" customHeight="1">
      <c r="B10" s="88" t="str">
        <f>HYPERLINK("#'Order Overview'!A1","Order Entry → Order Overview")</f>
        <v>Order Entry → Order Overview</v>
      </c>
      <c r="C10" s="89"/>
      <c r="D10" s="90"/>
      <c r="F10" s="65" t="s">
        <v>205</v>
      </c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7"/>
    </row>
    <row r="11" spans="1:17" ht="25" customHeight="1">
      <c r="F11" s="65" t="s">
        <v>206</v>
      </c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7"/>
    </row>
    <row r="12" spans="1:17" ht="25" customHeight="1">
      <c r="F12" s="75" t="s">
        <v>207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7"/>
    </row>
    <row r="14" spans="1:17" ht="8" customHeight="1"/>
    <row r="15" spans="1:17" ht="33" customHeight="1">
      <c r="B15" s="157" t="s">
        <v>199</v>
      </c>
      <c r="C15" s="157"/>
      <c r="D15" s="157"/>
      <c r="F15" s="85" t="s">
        <v>208</v>
      </c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7"/>
    </row>
    <row r="16" spans="1:17" ht="25" customHeight="1">
      <c r="B16" s="97">
        <v>46126</v>
      </c>
      <c r="C16" s="97"/>
      <c r="D16" s="97"/>
      <c r="F16" s="82" t="s">
        <v>209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4"/>
    </row>
    <row r="17" spans="2:17" ht="25" customHeight="1">
      <c r="B17" s="97"/>
      <c r="C17" s="97"/>
      <c r="D17" s="97"/>
      <c r="F17" s="65" t="s">
        <v>210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7"/>
    </row>
    <row r="18" spans="2:17" ht="25" customHeight="1">
      <c r="F18" s="65" t="s">
        <v>211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7"/>
    </row>
    <row r="19" spans="2:17" ht="25" customHeight="1">
      <c r="F19" s="65" t="s">
        <v>212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7"/>
    </row>
    <row r="20" spans="2:17" ht="25" customHeight="1">
      <c r="F20" s="65" t="s">
        <v>213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7"/>
    </row>
    <row r="21" spans="2:17" ht="25" customHeight="1">
      <c r="F21" s="75" t="s">
        <v>214</v>
      </c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7"/>
    </row>
  </sheetData>
  <mergeCells count="25">
    <mergeCell ref="F12:Q12"/>
    <mergeCell ref="F11:Q11"/>
    <mergeCell ref="F10:Q10"/>
    <mergeCell ref="B16:D17"/>
    <mergeCell ref="F21:Q21"/>
    <mergeCell ref="F20:Q20"/>
    <mergeCell ref="F19:Q19"/>
    <mergeCell ref="F18:Q18"/>
    <mergeCell ref="B5:G5"/>
    <mergeCell ref="J4:N5"/>
    <mergeCell ref="F17:Q17"/>
    <mergeCell ref="F16:Q16"/>
    <mergeCell ref="F15:Q15"/>
    <mergeCell ref="B6:D6"/>
    <mergeCell ref="B15:D15"/>
    <mergeCell ref="B10:D10"/>
    <mergeCell ref="B9:D9"/>
    <mergeCell ref="B8:D8"/>
    <mergeCell ref="B7:D7"/>
    <mergeCell ref="F8:Q8"/>
    <mergeCell ref="F7:Q7"/>
    <mergeCell ref="F6:Q6"/>
    <mergeCell ref="B1:I3"/>
    <mergeCell ref="F9:Q9"/>
    <mergeCell ref="J1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7A94-79D3-B34A-A211-3BE8865B34C1}">
  <sheetPr>
    <tabColor theme="4" tint="-0.249977111117893"/>
  </sheetPr>
  <dimension ref="A1:XFC30"/>
  <sheetViews>
    <sheetView showGridLines="0" showRowColHeaders="0" zoomScale="130" zoomScaleNormal="130" workbookViewId="0">
      <selection activeCell="K5" sqref="K5"/>
    </sheetView>
  </sheetViews>
  <sheetFormatPr baseColWidth="10" defaultColWidth="0" defaultRowHeight="16" zeroHeight="1"/>
  <cols>
    <col min="1" max="1" width="4.1640625" customWidth="1"/>
    <col min="2" max="3" width="13.33203125" customWidth="1"/>
    <col min="4" max="4" width="1.83203125" customWidth="1"/>
    <col min="5" max="6" width="13.33203125" customWidth="1"/>
    <col min="7" max="7" width="1.83203125" customWidth="1"/>
    <col min="8" max="9" width="13.33203125" customWidth="1"/>
    <col min="10" max="10" width="1.83203125" customWidth="1"/>
    <col min="11" max="12" width="13.33203125" customWidth="1"/>
    <col min="13" max="13" width="1.83203125" customWidth="1"/>
    <col min="14" max="15" width="13.33203125" customWidth="1"/>
    <col min="16" max="16" width="1.83203125" customWidth="1"/>
    <col min="17" max="18" width="13.33203125" customWidth="1"/>
    <col min="19" max="19" width="8.5" customWidth="1"/>
    <col min="23" max="16382" width="10.83203125" hidden="1"/>
    <col min="16383" max="16383" width="2" hidden="1" customWidth="1"/>
    <col min="16384" max="16384" width="6.33203125" hidden="1" customWidth="1"/>
  </cols>
  <sheetData>
    <row r="1" spans="1:18" ht="18" customHeight="1">
      <c r="A1" s="2"/>
      <c r="B1" s="102" t="s">
        <v>192</v>
      </c>
      <c r="C1" s="102"/>
      <c r="D1" s="102"/>
      <c r="E1" s="102"/>
      <c r="F1" s="102"/>
      <c r="G1" s="102"/>
      <c r="H1" s="102"/>
    </row>
    <row r="2" spans="1:18" ht="23" customHeight="1">
      <c r="A2" s="2"/>
      <c r="B2" s="102"/>
      <c r="C2" s="102"/>
      <c r="D2" s="102"/>
      <c r="E2" s="102"/>
      <c r="F2" s="102"/>
      <c r="G2" s="102"/>
      <c r="H2" s="102"/>
      <c r="K2" t="s">
        <v>197</v>
      </c>
      <c r="P2" s="96" t="s">
        <v>196</v>
      </c>
      <c r="Q2" s="96"/>
      <c r="R2" s="96"/>
    </row>
    <row r="3" spans="1:18" ht="18" customHeight="1">
      <c r="A3" s="2"/>
      <c r="B3" s="102"/>
      <c r="C3" s="102"/>
      <c r="D3" s="102"/>
      <c r="E3" s="102"/>
      <c r="F3" s="102"/>
      <c r="G3" s="102"/>
      <c r="H3" s="102"/>
      <c r="P3" s="96"/>
      <c r="Q3" s="96"/>
      <c r="R3" s="96"/>
    </row>
    <row r="4" spans="1:18" ht="18" customHeight="1">
      <c r="A4" s="2"/>
      <c r="B4" s="42"/>
      <c r="C4" s="43"/>
      <c r="D4" s="43"/>
      <c r="P4" s="97">
        <f>Introduction!B16</f>
        <v>46126</v>
      </c>
      <c r="Q4" s="97"/>
      <c r="R4" s="97"/>
    </row>
    <row r="5" spans="1:18" ht="23" customHeight="1">
      <c r="A5" s="2"/>
      <c r="B5" s="94" t="s">
        <v>218</v>
      </c>
      <c r="C5" s="94"/>
      <c r="D5" s="94"/>
      <c r="E5" s="94"/>
      <c r="F5" s="94"/>
      <c r="G5" s="44"/>
      <c r="H5" s="44"/>
      <c r="I5" s="44"/>
      <c r="J5" s="44"/>
      <c r="P5" s="97"/>
      <c r="Q5" s="97"/>
      <c r="R5" s="97"/>
    </row>
    <row r="6" spans="1:18" ht="8" customHeight="1">
      <c r="A6" s="2"/>
      <c r="B6" s="44"/>
      <c r="C6" s="45"/>
      <c r="D6" s="45"/>
      <c r="E6" s="44"/>
      <c r="F6" s="46"/>
      <c r="G6" s="47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</row>
    <row r="7" spans="1:18" ht="18" customHeight="1">
      <c r="A7" s="2"/>
      <c r="B7" s="95" t="s">
        <v>216</v>
      </c>
      <c r="C7" s="95"/>
      <c r="D7" s="95"/>
      <c r="E7" s="95"/>
      <c r="F7" s="48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1:18" ht="23" customHeight="1">
      <c r="B8" s="96" t="s">
        <v>217</v>
      </c>
      <c r="C8" s="96"/>
      <c r="D8" s="49"/>
      <c r="E8" s="96" t="s">
        <v>191</v>
      </c>
      <c r="F8" s="96"/>
      <c r="G8" s="49"/>
      <c r="H8" s="96" t="s">
        <v>189</v>
      </c>
      <c r="I8" s="96"/>
      <c r="J8" s="50"/>
      <c r="K8" s="96" t="s">
        <v>193</v>
      </c>
      <c r="L8" s="96"/>
      <c r="M8" s="50"/>
      <c r="N8" s="103" t="s">
        <v>195</v>
      </c>
      <c r="O8" s="104"/>
      <c r="P8" s="50"/>
      <c r="Q8" s="103" t="s">
        <v>194</v>
      </c>
      <c r="R8" s="104"/>
    </row>
    <row r="9" spans="1:18" ht="23" customHeight="1">
      <c r="B9" s="96"/>
      <c r="C9" s="96"/>
      <c r="D9" s="49"/>
      <c r="E9" s="96"/>
      <c r="F9" s="96"/>
      <c r="G9" s="49"/>
      <c r="H9" s="96"/>
      <c r="I9" s="96"/>
      <c r="J9" s="50"/>
      <c r="K9" s="96"/>
      <c r="L9" s="96"/>
      <c r="M9" s="50"/>
      <c r="N9" s="105"/>
      <c r="O9" s="106"/>
      <c r="P9" s="50"/>
      <c r="Q9" s="105"/>
      <c r="R9" s="106"/>
    </row>
    <row r="10" spans="1:18" ht="23" customHeight="1">
      <c r="B10" s="107">
        <f>COUNTA('Inventory Status'!B10:B26,'Inventory Status'!B30:B73,'Inventory Status'!B77:B158)</f>
        <v>134</v>
      </c>
      <c r="C10" s="108"/>
      <c r="D10" s="20"/>
      <c r="E10" s="111">
        <f>SUM('Inventory Status'!F10:F26,'Inventory Status'!F30:F73,'Inventory Status'!F77:F158)</f>
        <v>454.75</v>
      </c>
      <c r="F10" s="112"/>
      <c r="G10" s="20"/>
      <c r="H10" s="107">
        <f>SUM('Inventory Status'!E10:E26,'Inventory Status'!E30:E73,'Inventory Status'!E77:E158)</f>
        <v>406</v>
      </c>
      <c r="I10" s="108"/>
      <c r="J10" s="20"/>
      <c r="K10" s="107">
        <f>SUM(SUMIF('Inventory Status'!G10:G26,"&gt;0"),SUMIF('Inventory Status'!G30:G73,"&gt;0"), SUMIF('Inventory Status'!G77:G158,"&gt;0"))</f>
        <v>159</v>
      </c>
      <c r="L10" s="108"/>
      <c r="M10" s="20"/>
      <c r="N10" s="98">
        <f>COUNTIF('Inventory Status'!B10:H158,"YES") / (COUNTIF('Inventory Status'!B10:H158,"YES") + (COUNTIF('Inventory Status'!B10:H158,"NO")))</f>
        <v>0.43283582089552236</v>
      </c>
      <c r="O10" s="99"/>
      <c r="P10" s="20"/>
      <c r="Q10" s="98">
        <f>COUNTIF('Inventory Status'!B10:H158,"NO") / (COUNTIF('Inventory Status'!B10:H158,"YES") + (COUNTIF('Inventory Status'!B10:H158,"NO")))</f>
        <v>0.56716417910447758</v>
      </c>
      <c r="R10" s="99"/>
    </row>
    <row r="11" spans="1:18" ht="23" customHeight="1">
      <c r="B11" s="109"/>
      <c r="C11" s="110"/>
      <c r="D11" s="20"/>
      <c r="E11" s="113"/>
      <c r="F11" s="114"/>
      <c r="G11" s="20"/>
      <c r="H11" s="109"/>
      <c r="I11" s="110"/>
      <c r="J11" s="20"/>
      <c r="K11" s="109"/>
      <c r="L11" s="110"/>
      <c r="M11" s="20"/>
      <c r="N11" s="100"/>
      <c r="O11" s="101"/>
      <c r="P11" s="20"/>
      <c r="Q11" s="100"/>
      <c r="R11" s="101"/>
    </row>
    <row r="12" spans="1:18" ht="14" customHeight="1"/>
    <row r="13" spans="1:18"/>
    <row r="14" spans="1:18"/>
    <row r="15" spans="1:18"/>
    <row r="16" spans="1:18"/>
    <row r="17"/>
    <row r="18"/>
    <row r="19"/>
    <row r="20" ht="16" customHeight="1"/>
    <row r="21" ht="16" customHeight="1"/>
    <row r="22"/>
    <row r="23"/>
    <row r="24"/>
    <row r="25"/>
    <row r="26"/>
    <row r="27"/>
    <row r="28"/>
    <row r="29"/>
    <row r="30"/>
  </sheetData>
  <mergeCells count="17">
    <mergeCell ref="H8:I9"/>
    <mergeCell ref="B5:F5"/>
    <mergeCell ref="B7:E7"/>
    <mergeCell ref="P2:R3"/>
    <mergeCell ref="P4:R5"/>
    <mergeCell ref="Q10:R11"/>
    <mergeCell ref="B1:H3"/>
    <mergeCell ref="N8:O9"/>
    <mergeCell ref="N10:O11"/>
    <mergeCell ref="Q8:R9"/>
    <mergeCell ref="B10:C11"/>
    <mergeCell ref="E10:F11"/>
    <mergeCell ref="K10:L11"/>
    <mergeCell ref="H10:I11"/>
    <mergeCell ref="B8:C9"/>
    <mergeCell ref="K8:L9"/>
    <mergeCell ref="E8:F9"/>
  </mergeCells>
  <conditionalFormatting sqref="H6:H7">
    <cfRule type="containsText" dxfId="31" priority="3" operator="containsText" text="YES">
      <formula>NOT(ISERROR(SEARCH("YES",H6)))</formula>
    </cfRule>
    <cfRule type="containsText" dxfId="30" priority="4" operator="containsText" text="NO">
      <formula>NOT(ISERROR(SEARCH("NO",H6)))</formula>
    </cfRule>
    <cfRule type="cellIs" dxfId="29" priority="5" operator="equal">
      <formula>"NO"</formula>
    </cfRule>
    <cfRule type="cellIs" dxfId="28" priority="6" operator="equal">
      <formula>"YES"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EEE5-7212-1545-AF61-160A3B80D5D0}">
  <sheetPr codeName="Sheet2">
    <tabColor theme="3" tint="0.749992370372631"/>
  </sheetPr>
  <dimension ref="A1:R162"/>
  <sheetViews>
    <sheetView showGridLines="0" showRowColHeaders="0" zoomScale="130" zoomScaleNormal="130" workbookViewId="0">
      <selection activeCell="G96" sqref="G9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0" defaultRowHeight="16" zeroHeight="1"/>
  <cols>
    <col min="1" max="1" width="4.1640625" customWidth="1"/>
    <col min="2" max="2" width="35.6640625" customWidth="1"/>
    <col min="3" max="4" width="19" customWidth="1"/>
    <col min="5" max="7" width="23.1640625" customWidth="1"/>
    <col min="8" max="8" width="19.5" customWidth="1"/>
    <col min="9" max="9" width="15.83203125" customWidth="1"/>
    <col min="10" max="18" width="15.83203125" hidden="1" customWidth="1"/>
    <col min="19" max="16384" width="10.83203125" hidden="1"/>
  </cols>
  <sheetData>
    <row r="1" spans="1:18" ht="18" customHeight="1">
      <c r="A1" s="2"/>
      <c r="B1" s="117" t="s">
        <v>10</v>
      </c>
      <c r="C1" s="117"/>
      <c r="F1" s="3"/>
    </row>
    <row r="2" spans="1:18" ht="18" customHeight="1">
      <c r="A2" s="2"/>
      <c r="B2" s="117"/>
      <c r="C2" s="117"/>
    </row>
    <row r="3" spans="1:18" ht="18" customHeight="1">
      <c r="A3" s="2"/>
      <c r="B3" s="117"/>
      <c r="C3" s="117"/>
      <c r="E3" s="116" t="s">
        <v>200</v>
      </c>
      <c r="F3" s="116"/>
      <c r="G3" s="118">
        <f>Introduction!B16</f>
        <v>46126</v>
      </c>
      <c r="H3" s="119"/>
    </row>
    <row r="4" spans="1:18" ht="18" customHeight="1">
      <c r="A4" s="2"/>
      <c r="C4" s="4"/>
      <c r="E4" s="116"/>
      <c r="F4" s="116"/>
      <c r="G4" s="120"/>
      <c r="H4" s="121"/>
    </row>
    <row r="5" spans="1:18" ht="23" customHeight="1">
      <c r="A5" s="2"/>
      <c r="B5" s="53" t="s">
        <v>218</v>
      </c>
      <c r="C5" s="9"/>
      <c r="E5" s="116"/>
      <c r="F5" s="116"/>
      <c r="G5" s="122"/>
      <c r="H5" s="123"/>
    </row>
    <row r="6" spans="1:18" ht="18" customHeight="1">
      <c r="A6" s="2"/>
      <c r="B6" s="54"/>
      <c r="C6" s="1"/>
      <c r="E6" s="18"/>
      <c r="F6" s="18"/>
      <c r="G6" s="19"/>
    </row>
    <row r="7" spans="1:18" ht="18" customHeight="1">
      <c r="A7" s="2"/>
      <c r="B7" s="55" t="s">
        <v>216</v>
      </c>
      <c r="C7" s="1"/>
      <c r="E7" s="10"/>
      <c r="F7" s="10"/>
    </row>
    <row r="8" spans="1:18" ht="34" customHeight="1">
      <c r="B8" s="115" t="s">
        <v>11</v>
      </c>
      <c r="C8" s="115"/>
      <c r="D8" s="115"/>
      <c r="E8" s="115"/>
      <c r="F8" s="115"/>
      <c r="G8" s="115"/>
      <c r="H8" s="115"/>
    </row>
    <row r="9" spans="1:18" ht="19" customHeight="1">
      <c r="B9" s="56" t="s">
        <v>0</v>
      </c>
      <c r="C9" s="56" t="s">
        <v>1</v>
      </c>
      <c r="D9" s="56" t="s">
        <v>26</v>
      </c>
      <c r="E9" s="56" t="s">
        <v>3</v>
      </c>
      <c r="F9" s="56" t="s">
        <v>4</v>
      </c>
      <c r="G9" s="56" t="s">
        <v>176</v>
      </c>
      <c r="H9" s="56" t="s">
        <v>190</v>
      </c>
      <c r="N9" s="5"/>
      <c r="O9" s="5"/>
      <c r="P9" s="5"/>
      <c r="Q9" s="5"/>
      <c r="R9" s="5"/>
    </row>
    <row r="10" spans="1:18" ht="18" customHeight="1">
      <c r="B10" s="8" t="s">
        <v>21</v>
      </c>
      <c r="C10" s="8" t="s">
        <v>31</v>
      </c>
      <c r="D10" s="8" t="s">
        <v>34</v>
      </c>
      <c r="E10" s="7">
        <v>3</v>
      </c>
      <c r="F10" s="8">
        <v>12</v>
      </c>
      <c r="G10" s="8">
        <f>MAX(0,frozeninventory[[#This Row],[Target Quantity]]-frozeninventory[[#This Row],[Current Quantity]])</f>
        <v>9</v>
      </c>
      <c r="H10" s="8" t="str">
        <f>IF(frozeninventory[[#This Row],[Needed Quantity]]&gt;0, "YES","NO")</f>
        <v>YES</v>
      </c>
    </row>
    <row r="11" spans="1:18" ht="18" customHeight="1">
      <c r="B11" s="8" t="s">
        <v>23</v>
      </c>
      <c r="C11" s="8" t="s">
        <v>31</v>
      </c>
      <c r="D11" s="8" t="s">
        <v>42</v>
      </c>
      <c r="E11" s="7">
        <v>7</v>
      </c>
      <c r="F11" s="8">
        <v>8</v>
      </c>
      <c r="G11" s="8">
        <f>MAX(0,frozeninventory[[#This Row],[Target Quantity]]-frozeninventory[[#This Row],[Current Quantity]])</f>
        <v>1</v>
      </c>
      <c r="H11" s="8" t="str">
        <f>IF(frozeninventory[[#This Row],[Needed Quantity]]&gt;0, "YES","NO")</f>
        <v>YES</v>
      </c>
    </row>
    <row r="12" spans="1:18" ht="18" customHeight="1">
      <c r="B12" s="8" t="s">
        <v>24</v>
      </c>
      <c r="C12" s="8" t="s">
        <v>31</v>
      </c>
      <c r="D12" s="8" t="s">
        <v>34</v>
      </c>
      <c r="E12" s="7">
        <v>1</v>
      </c>
      <c r="F12" s="8">
        <v>2</v>
      </c>
      <c r="G12" s="8">
        <f>MAX(0,frozeninventory[[#This Row],[Target Quantity]]-frozeninventory[[#This Row],[Current Quantity]])</f>
        <v>1</v>
      </c>
      <c r="H12" s="8" t="str">
        <f>IF(frozeninventory[[#This Row],[Needed Quantity]]&gt;0, "YES","NO")</f>
        <v>YES</v>
      </c>
    </row>
    <row r="13" spans="1:18" ht="18" customHeight="1">
      <c r="B13" s="8" t="s">
        <v>160</v>
      </c>
      <c r="C13" s="8" t="s">
        <v>31</v>
      </c>
      <c r="D13" s="8" t="s">
        <v>42</v>
      </c>
      <c r="E13" s="7">
        <v>3</v>
      </c>
      <c r="F13" s="8">
        <v>3</v>
      </c>
      <c r="G13" s="8">
        <f>MAX(0,frozeninventory[[#This Row],[Target Quantity]]-frozeninventory[[#This Row],[Current Quantity]])</f>
        <v>0</v>
      </c>
      <c r="H13" s="8" t="str">
        <f>IF(frozeninventory[[#This Row],[Needed Quantity]]&gt;0, "YES","NO")</f>
        <v>NO</v>
      </c>
    </row>
    <row r="14" spans="1:18" ht="18" customHeight="1">
      <c r="B14" s="8" t="s">
        <v>22</v>
      </c>
      <c r="C14" s="8" t="s">
        <v>32</v>
      </c>
      <c r="D14" s="8" t="s">
        <v>57</v>
      </c>
      <c r="E14" s="7">
        <v>12</v>
      </c>
      <c r="F14" s="8">
        <v>10</v>
      </c>
      <c r="G14" s="8">
        <f>MAX(0,frozeninventory[[#This Row],[Target Quantity]]-frozeninventory[[#This Row],[Current Quantity]])</f>
        <v>0</v>
      </c>
      <c r="H14" s="8" t="str">
        <f>IF(frozeninventory[[#This Row],[Needed Quantity]]&gt;0, "YES","NO")</f>
        <v>NO</v>
      </c>
    </row>
    <row r="15" spans="1:18" ht="18" customHeight="1">
      <c r="B15" s="8" t="s">
        <v>20</v>
      </c>
      <c r="C15" s="8" t="s">
        <v>29</v>
      </c>
      <c r="D15" s="8" t="s">
        <v>34</v>
      </c>
      <c r="E15" s="7">
        <v>1</v>
      </c>
      <c r="F15" s="8">
        <v>5</v>
      </c>
      <c r="G15" s="8">
        <f>MAX(0,frozeninventory[[#This Row],[Target Quantity]]-frozeninventory[[#This Row],[Current Quantity]])</f>
        <v>4</v>
      </c>
      <c r="H15" s="8" t="str">
        <f>IF(frozeninventory[[#This Row],[Needed Quantity]]&gt;0, "YES","NO")</f>
        <v>YES</v>
      </c>
    </row>
    <row r="16" spans="1:18" ht="18" customHeight="1">
      <c r="B16" s="8" t="s">
        <v>17</v>
      </c>
      <c r="C16" s="8" t="s">
        <v>27</v>
      </c>
      <c r="D16" s="8" t="s">
        <v>35</v>
      </c>
      <c r="E16" s="7">
        <v>1</v>
      </c>
      <c r="F16" s="8">
        <v>3</v>
      </c>
      <c r="G16" s="8">
        <f>MAX(0,frozeninventory[[#This Row],[Target Quantity]]-frozeninventory[[#This Row],[Current Quantity]])</f>
        <v>2</v>
      </c>
      <c r="H16" s="8" t="str">
        <f>IF(frozeninventory[[#This Row],[Needed Quantity]]&gt;0, "YES","NO")</f>
        <v>YES</v>
      </c>
    </row>
    <row r="17" spans="2:8" ht="18" customHeight="1">
      <c r="B17" s="8" t="s">
        <v>18</v>
      </c>
      <c r="C17" s="8" t="s">
        <v>27</v>
      </c>
      <c r="D17" s="8" t="s">
        <v>35</v>
      </c>
      <c r="E17" s="7">
        <v>2</v>
      </c>
      <c r="F17" s="8">
        <v>3</v>
      </c>
      <c r="G17" s="8">
        <f>MAX(0,frozeninventory[[#This Row],[Target Quantity]]-frozeninventory[[#This Row],[Current Quantity]])</f>
        <v>1</v>
      </c>
      <c r="H17" s="8" t="str">
        <f>IF(frozeninventory[[#This Row],[Needed Quantity]]&gt;0, "YES","NO")</f>
        <v>YES</v>
      </c>
    </row>
    <row r="18" spans="2:8" ht="18" customHeight="1">
      <c r="B18" s="8" t="s">
        <v>19</v>
      </c>
      <c r="C18" s="8" t="s">
        <v>28</v>
      </c>
      <c r="D18" s="8" t="s">
        <v>34</v>
      </c>
      <c r="E18" s="7">
        <v>0</v>
      </c>
      <c r="F18" s="8">
        <v>8</v>
      </c>
      <c r="G18" s="8">
        <f>MAX(0,frozeninventory[[#This Row],[Target Quantity]]-frozeninventory[[#This Row],[Current Quantity]])</f>
        <v>8</v>
      </c>
      <c r="H18" s="8" t="str">
        <f>IF(frozeninventory[[#This Row],[Needed Quantity]]&gt;0, "YES","NO")</f>
        <v>YES</v>
      </c>
    </row>
    <row r="19" spans="2:8" ht="18" customHeight="1">
      <c r="B19" s="8" t="s">
        <v>25</v>
      </c>
      <c r="C19" s="8" t="s">
        <v>33</v>
      </c>
      <c r="D19" s="8" t="s">
        <v>34</v>
      </c>
      <c r="E19" s="7">
        <v>0</v>
      </c>
      <c r="F19" s="8">
        <v>2</v>
      </c>
      <c r="G19" s="8">
        <f>MAX(0,frozeninventory[[#This Row],[Target Quantity]]-frozeninventory[[#This Row],[Current Quantity]])</f>
        <v>2</v>
      </c>
      <c r="H19" s="8" t="str">
        <f>IF(frozeninventory[[#This Row],[Needed Quantity]]&gt;0, "YES","NO")</f>
        <v>YES</v>
      </c>
    </row>
    <row r="20" spans="2:8" ht="18" customHeight="1">
      <c r="B20" s="8" t="s">
        <v>48</v>
      </c>
      <c r="C20" s="8" t="s">
        <v>30</v>
      </c>
      <c r="D20" s="8" t="s">
        <v>42</v>
      </c>
      <c r="E20" s="7">
        <v>8</v>
      </c>
      <c r="F20" s="8">
        <v>6</v>
      </c>
      <c r="G20" s="8">
        <f>MAX(0,frozeninventory[[#This Row],[Target Quantity]]-frozeninventory[[#This Row],[Current Quantity]])</f>
        <v>0</v>
      </c>
      <c r="H20" s="8" t="str">
        <f>IF(frozeninventory[[#This Row],[Needed Quantity]]&gt;0, "YES","NO")</f>
        <v>NO</v>
      </c>
    </row>
    <row r="21" spans="2:8" ht="18" customHeight="1">
      <c r="B21" s="8" t="s">
        <v>110</v>
      </c>
      <c r="C21" s="8" t="s">
        <v>30</v>
      </c>
      <c r="D21" s="8" t="s">
        <v>34</v>
      </c>
      <c r="E21" s="7">
        <v>1</v>
      </c>
      <c r="F21" s="8">
        <v>1</v>
      </c>
      <c r="G21" s="8">
        <f>MAX(0,frozeninventory[[#This Row],[Target Quantity]]-frozeninventory[[#This Row],[Current Quantity]])</f>
        <v>0</v>
      </c>
      <c r="H21" s="8" t="str">
        <f>IF(frozeninventory[[#This Row],[Needed Quantity]]&gt;0, "YES","NO")</f>
        <v>NO</v>
      </c>
    </row>
    <row r="22" spans="2:8" ht="18" customHeight="1">
      <c r="B22" s="8" t="s">
        <v>185</v>
      </c>
      <c r="C22" s="8" t="s">
        <v>30</v>
      </c>
      <c r="D22" s="8" t="s">
        <v>57</v>
      </c>
      <c r="E22" s="7">
        <v>8</v>
      </c>
      <c r="F22" s="8">
        <v>3</v>
      </c>
      <c r="G22" s="8">
        <f>MAX(0,frozeninventory[[#This Row],[Target Quantity]]-frozeninventory[[#This Row],[Current Quantity]])</f>
        <v>0</v>
      </c>
      <c r="H22" s="8" t="str">
        <f>IF(frozeninventory[[#This Row],[Needed Quantity]]&gt;0, "YES","NO")</f>
        <v>NO</v>
      </c>
    </row>
    <row r="23" spans="2:8" ht="18" customHeight="1">
      <c r="B23" s="8"/>
      <c r="C23" s="8"/>
      <c r="D23" s="8"/>
      <c r="E23" s="7"/>
      <c r="F23" s="8"/>
      <c r="G23" s="8"/>
      <c r="H23" s="8"/>
    </row>
    <row r="24" spans="2:8" ht="18" customHeight="1">
      <c r="B24" s="8"/>
      <c r="C24" s="8"/>
      <c r="D24" s="8"/>
      <c r="E24" s="7"/>
      <c r="F24" s="8"/>
      <c r="G24" s="8"/>
      <c r="H24" s="8"/>
    </row>
    <row r="25" spans="2:8" ht="18" customHeight="1">
      <c r="B25" s="8"/>
      <c r="C25" s="8"/>
      <c r="D25" s="8"/>
      <c r="E25" s="7"/>
      <c r="F25" s="8"/>
      <c r="G25" s="8"/>
      <c r="H25" s="8"/>
    </row>
    <row r="26" spans="2:8" ht="18" customHeight="1">
      <c r="B26" s="8"/>
      <c r="C26" s="8"/>
      <c r="D26" s="8"/>
      <c r="E26" s="7"/>
      <c r="F26" s="8"/>
      <c r="G26" s="8"/>
      <c r="H26" s="8"/>
    </row>
    <row r="27" spans="2:8" ht="18" customHeight="1">
      <c r="C27" s="6"/>
      <c r="D27" s="6"/>
      <c r="E27" s="6"/>
      <c r="F27" s="6"/>
      <c r="G27" s="6"/>
    </row>
    <row r="28" spans="2:8" ht="34" customHeight="1">
      <c r="B28" s="115" t="s">
        <v>13</v>
      </c>
      <c r="C28" s="115"/>
      <c r="D28" s="115"/>
      <c r="E28" s="115"/>
      <c r="F28" s="115"/>
      <c r="G28" s="115"/>
      <c r="H28" s="115"/>
    </row>
    <row r="29" spans="2:8" ht="18" customHeight="1">
      <c r="B29" s="56" t="s">
        <v>0</v>
      </c>
      <c r="C29" s="56" t="s">
        <v>1</v>
      </c>
      <c r="D29" s="56" t="s">
        <v>26</v>
      </c>
      <c r="E29" s="56" t="s">
        <v>3</v>
      </c>
      <c r="F29" s="56" t="s">
        <v>4</v>
      </c>
      <c r="G29" s="56" t="s">
        <v>14</v>
      </c>
      <c r="H29" s="56" t="s">
        <v>2</v>
      </c>
    </row>
    <row r="30" spans="2:8" ht="18" customHeight="1">
      <c r="B30" s="8" t="s">
        <v>47</v>
      </c>
      <c r="C30" s="8" t="s">
        <v>36</v>
      </c>
      <c r="D30" s="8" t="s">
        <v>41</v>
      </c>
      <c r="E30" s="7">
        <v>20</v>
      </c>
      <c r="F30" s="8">
        <v>10</v>
      </c>
      <c r="G30" s="8">
        <f>MAX(0,refridgeratedinventory[[#This Row],[Target Quantity]]-refridgeratedinventory[[#This Row],[Current Quantity]])</f>
        <v>0</v>
      </c>
      <c r="H30" s="8" t="str">
        <f>IF(refridgeratedinventory[[#This Row],[Quantity Needed]]&gt;0, "YES","NO")</f>
        <v>NO</v>
      </c>
    </row>
    <row r="31" spans="2:8" ht="17" customHeight="1">
      <c r="B31" s="8" t="s">
        <v>37</v>
      </c>
      <c r="C31" s="8" t="s">
        <v>36</v>
      </c>
      <c r="D31" s="8" t="s">
        <v>40</v>
      </c>
      <c r="E31" s="7">
        <v>15</v>
      </c>
      <c r="F31" s="8">
        <v>10</v>
      </c>
      <c r="G31" s="8">
        <f>MAX(0,refridgeratedinventory[[#This Row],[Target Quantity]]-refridgeratedinventory[[#This Row],[Current Quantity]])</f>
        <v>0</v>
      </c>
      <c r="H31" s="8" t="str">
        <f>IF(refridgeratedinventory[[#This Row],[Quantity Needed]]&gt;0, "YES","NO")</f>
        <v>NO</v>
      </c>
    </row>
    <row r="32" spans="2:8" ht="17" customHeight="1">
      <c r="B32" s="8" t="s">
        <v>43</v>
      </c>
      <c r="C32" s="8" t="s">
        <v>36</v>
      </c>
      <c r="D32" s="8" t="s">
        <v>44</v>
      </c>
      <c r="E32" s="7">
        <v>0</v>
      </c>
      <c r="F32" s="8">
        <v>1</v>
      </c>
      <c r="G32" s="8">
        <f>MAX(0,refridgeratedinventory[[#This Row],[Target Quantity]]-refridgeratedinventory[[#This Row],[Current Quantity]])</f>
        <v>1</v>
      </c>
      <c r="H32" s="8" t="str">
        <f>IF(refridgeratedinventory[[#This Row],[Quantity Needed]]&gt;0, "YES","NO")</f>
        <v>YES</v>
      </c>
    </row>
    <row r="33" spans="2:8" ht="18" customHeight="1">
      <c r="B33" s="8" t="s">
        <v>52</v>
      </c>
      <c r="C33" s="8" t="s">
        <v>36</v>
      </c>
      <c r="D33" s="8" t="s">
        <v>44</v>
      </c>
      <c r="E33" s="7">
        <v>2</v>
      </c>
      <c r="F33" s="8">
        <v>4</v>
      </c>
      <c r="G33" s="8">
        <f>MAX(0,refridgeratedinventory[[#This Row],[Target Quantity]]-refridgeratedinventory[[#This Row],[Current Quantity]])</f>
        <v>2</v>
      </c>
      <c r="H33" s="8" t="str">
        <f>IF(refridgeratedinventory[[#This Row],[Quantity Needed]]&gt;0, "YES","NO")</f>
        <v>YES</v>
      </c>
    </row>
    <row r="34" spans="2:8" ht="18" customHeight="1">
      <c r="B34" s="8" t="s">
        <v>53</v>
      </c>
      <c r="C34" s="8" t="s">
        <v>36</v>
      </c>
      <c r="D34" s="8" t="s">
        <v>42</v>
      </c>
      <c r="E34" s="7">
        <v>4</v>
      </c>
      <c r="F34" s="8">
        <v>8</v>
      </c>
      <c r="G34" s="8">
        <f>MAX(0,refridgeratedinventory[[#This Row],[Target Quantity]]-refridgeratedinventory[[#This Row],[Current Quantity]])</f>
        <v>4</v>
      </c>
      <c r="H34" s="8" t="str">
        <f>IF(refridgeratedinventory[[#This Row],[Quantity Needed]]&gt;0, "YES","NO")</f>
        <v>YES</v>
      </c>
    </row>
    <row r="35" spans="2:8" ht="18" customHeight="1">
      <c r="B35" s="8" t="s">
        <v>58</v>
      </c>
      <c r="C35" s="8" t="s">
        <v>36</v>
      </c>
      <c r="D35" s="8" t="s">
        <v>42</v>
      </c>
      <c r="E35" s="7">
        <v>2</v>
      </c>
      <c r="F35" s="8">
        <v>3</v>
      </c>
      <c r="G35" s="8">
        <f>MAX(0,refridgeratedinventory[[#This Row],[Target Quantity]]-refridgeratedinventory[[#This Row],[Current Quantity]])</f>
        <v>1</v>
      </c>
      <c r="H35" s="8" t="str">
        <f>IF(refridgeratedinventory[[#This Row],[Quantity Needed]]&gt;0, "YES","NO")</f>
        <v>YES</v>
      </c>
    </row>
    <row r="36" spans="2:8" ht="18" customHeight="1">
      <c r="B36" s="8" t="s">
        <v>59</v>
      </c>
      <c r="C36" s="8" t="s">
        <v>36</v>
      </c>
      <c r="D36" s="8" t="s">
        <v>42</v>
      </c>
      <c r="E36" s="7">
        <v>1</v>
      </c>
      <c r="F36" s="8">
        <v>3</v>
      </c>
      <c r="G36" s="8">
        <f>MAX(0,refridgeratedinventory[[#This Row],[Target Quantity]]-refridgeratedinventory[[#This Row],[Current Quantity]])</f>
        <v>2</v>
      </c>
      <c r="H36" s="8" t="str">
        <f>IF(refridgeratedinventory[[#This Row],[Quantity Needed]]&gt;0, "YES","NO")</f>
        <v>YES</v>
      </c>
    </row>
    <row r="37" spans="2:8" ht="18" customHeight="1">
      <c r="B37" s="8" t="s">
        <v>60</v>
      </c>
      <c r="C37" s="8" t="s">
        <v>36</v>
      </c>
      <c r="D37" s="8" t="s">
        <v>42</v>
      </c>
      <c r="E37" s="7">
        <v>1</v>
      </c>
      <c r="F37" s="8">
        <v>6</v>
      </c>
      <c r="G37" s="8">
        <f>MAX(0,refridgeratedinventory[[#This Row],[Target Quantity]]-refridgeratedinventory[[#This Row],[Current Quantity]])</f>
        <v>5</v>
      </c>
      <c r="H37" s="8" t="str">
        <f>IF(refridgeratedinventory[[#This Row],[Quantity Needed]]&gt;0, "YES","NO")</f>
        <v>YES</v>
      </c>
    </row>
    <row r="38" spans="2:8" ht="18" customHeight="1">
      <c r="B38" s="8" t="s">
        <v>61</v>
      </c>
      <c r="C38" s="8" t="s">
        <v>36</v>
      </c>
      <c r="D38" s="8" t="s">
        <v>126</v>
      </c>
      <c r="E38" s="7">
        <v>3</v>
      </c>
      <c r="F38" s="8">
        <v>3</v>
      </c>
      <c r="G38" s="8">
        <f>MAX(0,refridgeratedinventory[[#This Row],[Target Quantity]]-refridgeratedinventory[[#This Row],[Current Quantity]])</f>
        <v>0</v>
      </c>
      <c r="H38" s="8" t="str">
        <f>IF(refridgeratedinventory[[#This Row],[Quantity Needed]]&gt;0, "YES","NO")</f>
        <v>NO</v>
      </c>
    </row>
    <row r="39" spans="2:8" ht="18" customHeight="1">
      <c r="B39" s="8" t="s">
        <v>63</v>
      </c>
      <c r="C39" s="8" t="s">
        <v>36</v>
      </c>
      <c r="D39" s="8" t="s">
        <v>42</v>
      </c>
      <c r="E39" s="7">
        <v>1</v>
      </c>
      <c r="F39" s="8">
        <v>3</v>
      </c>
      <c r="G39" s="8">
        <f>MAX(0,refridgeratedinventory[[#This Row],[Target Quantity]]-refridgeratedinventory[[#This Row],[Current Quantity]])</f>
        <v>2</v>
      </c>
      <c r="H39" s="8" t="str">
        <f>IF(refridgeratedinventory[[#This Row],[Quantity Needed]]&gt;0, "YES","NO")</f>
        <v>YES</v>
      </c>
    </row>
    <row r="40" spans="2:8" ht="18" customHeight="1">
      <c r="B40" s="8" t="s">
        <v>154</v>
      </c>
      <c r="C40" s="8" t="s">
        <v>36</v>
      </c>
      <c r="D40" s="8" t="s">
        <v>42</v>
      </c>
      <c r="E40" s="7">
        <v>3</v>
      </c>
      <c r="F40" s="8">
        <v>3</v>
      </c>
      <c r="G40" s="8">
        <f>MAX(0,refridgeratedinventory[[#This Row],[Target Quantity]]-refridgeratedinventory[[#This Row],[Current Quantity]])</f>
        <v>0</v>
      </c>
      <c r="H40" s="8" t="str">
        <f>IF(refridgeratedinventory[[#This Row],[Quantity Needed]]&gt;0, "YES","NO")</f>
        <v>NO</v>
      </c>
    </row>
    <row r="41" spans="2:8" ht="18" customHeight="1">
      <c r="B41" s="8" t="s">
        <v>54</v>
      </c>
      <c r="C41" s="8" t="s">
        <v>32</v>
      </c>
      <c r="D41" s="8" t="s">
        <v>57</v>
      </c>
      <c r="E41" s="7">
        <v>11</v>
      </c>
      <c r="F41" s="8">
        <v>12</v>
      </c>
      <c r="G41" s="8">
        <f>MAX(0,refridgeratedinventory[[#This Row],[Target Quantity]]-refridgeratedinventory[[#This Row],[Current Quantity]])</f>
        <v>1</v>
      </c>
      <c r="H41" s="8" t="str">
        <f>IF(refridgeratedinventory[[#This Row],[Quantity Needed]]&gt;0, "YES","NO")</f>
        <v>YES</v>
      </c>
    </row>
    <row r="42" spans="2:8" ht="18" customHeight="1">
      <c r="B42" s="8" t="s">
        <v>72</v>
      </c>
      <c r="C42" s="8" t="s">
        <v>32</v>
      </c>
      <c r="D42" s="8" t="s">
        <v>57</v>
      </c>
      <c r="E42" s="7">
        <v>17</v>
      </c>
      <c r="F42" s="8">
        <v>15</v>
      </c>
      <c r="G42" s="8">
        <f>MAX(0,refridgeratedinventory[[#This Row],[Target Quantity]]-refridgeratedinventory[[#This Row],[Current Quantity]])</f>
        <v>0</v>
      </c>
      <c r="H42" s="8" t="str">
        <f>IF(refridgeratedinventory[[#This Row],[Quantity Needed]]&gt;0, "YES","NO")</f>
        <v>NO</v>
      </c>
    </row>
    <row r="43" spans="2:8" ht="18" customHeight="1">
      <c r="B43" s="8" t="s">
        <v>73</v>
      </c>
      <c r="C43" s="8" t="s">
        <v>32</v>
      </c>
      <c r="D43" s="8" t="s">
        <v>57</v>
      </c>
      <c r="E43" s="7">
        <v>13</v>
      </c>
      <c r="F43" s="8">
        <v>10</v>
      </c>
      <c r="G43" s="8">
        <f>MAX(0,refridgeratedinventory[[#This Row],[Target Quantity]]-refridgeratedinventory[[#This Row],[Current Quantity]])</f>
        <v>0</v>
      </c>
      <c r="H43" s="8" t="str">
        <f>IF(refridgeratedinventory[[#This Row],[Quantity Needed]]&gt;0, "YES","NO")</f>
        <v>NO</v>
      </c>
    </row>
    <row r="44" spans="2:8" ht="18" customHeight="1">
      <c r="B44" s="8" t="s">
        <v>165</v>
      </c>
      <c r="C44" s="8" t="s">
        <v>32</v>
      </c>
      <c r="D44" s="8" t="s">
        <v>57</v>
      </c>
      <c r="E44" s="7">
        <v>12</v>
      </c>
      <c r="F44" s="8">
        <v>10</v>
      </c>
      <c r="G44" s="8">
        <f>MAX(0,refridgeratedinventory[[#This Row],[Target Quantity]]-refridgeratedinventory[[#This Row],[Current Quantity]])</f>
        <v>0</v>
      </c>
      <c r="H44" s="8" t="str">
        <f>IF(refridgeratedinventory[[#This Row],[Quantity Needed]]&gt;0, "YES","NO")</f>
        <v>NO</v>
      </c>
    </row>
    <row r="45" spans="2:8" ht="18" customHeight="1">
      <c r="B45" s="8" t="s">
        <v>166</v>
      </c>
      <c r="C45" s="8" t="s">
        <v>32</v>
      </c>
      <c r="D45" s="8" t="s">
        <v>57</v>
      </c>
      <c r="E45" s="7">
        <v>8</v>
      </c>
      <c r="F45" s="8">
        <v>10</v>
      </c>
      <c r="G45" s="8">
        <f>MAX(0,refridgeratedinventory[[#This Row],[Target Quantity]]-refridgeratedinventory[[#This Row],[Current Quantity]])</f>
        <v>2</v>
      </c>
      <c r="H45" s="8" t="str">
        <f>IF(refridgeratedinventory[[#This Row],[Quantity Needed]]&gt;0, "YES","NO")</f>
        <v>YES</v>
      </c>
    </row>
    <row r="46" spans="2:8" ht="18" customHeight="1">
      <c r="B46" s="8" t="s">
        <v>167</v>
      </c>
      <c r="C46" s="8" t="s">
        <v>32</v>
      </c>
      <c r="D46" s="8" t="s">
        <v>57</v>
      </c>
      <c r="E46" s="7">
        <v>2</v>
      </c>
      <c r="F46" s="8">
        <v>10</v>
      </c>
      <c r="G46" s="8">
        <f>MAX(0,refridgeratedinventory[[#This Row],[Target Quantity]]-refridgeratedinventory[[#This Row],[Current Quantity]])</f>
        <v>8</v>
      </c>
      <c r="H46" s="8" t="str">
        <f>IF(refridgeratedinventory[[#This Row],[Quantity Needed]]&gt;0, "YES","NO")</f>
        <v>YES</v>
      </c>
    </row>
    <row r="47" spans="2:8" ht="18" customHeight="1">
      <c r="B47" s="8" t="s">
        <v>92</v>
      </c>
      <c r="C47" s="8" t="s">
        <v>29</v>
      </c>
      <c r="D47" s="8" t="s">
        <v>34</v>
      </c>
      <c r="E47" s="7">
        <v>0</v>
      </c>
      <c r="F47" s="8">
        <v>8</v>
      </c>
      <c r="G47" s="8">
        <f>MAX(0,refridgeratedinventory[[#This Row],[Target Quantity]]-refridgeratedinventory[[#This Row],[Current Quantity]])</f>
        <v>8</v>
      </c>
      <c r="H47" s="8" t="str">
        <f>IF(refridgeratedinventory[[#This Row],[Quantity Needed]]&gt;0, "YES","NO")</f>
        <v>YES</v>
      </c>
    </row>
    <row r="48" spans="2:8" ht="18" customHeight="1">
      <c r="B48" s="8" t="s">
        <v>168</v>
      </c>
      <c r="C48" s="8" t="s">
        <v>132</v>
      </c>
      <c r="D48" s="8" t="s">
        <v>34</v>
      </c>
      <c r="E48" s="7">
        <v>1</v>
      </c>
      <c r="F48" s="8">
        <v>0.5</v>
      </c>
      <c r="G48" s="8">
        <f>MAX(0,refridgeratedinventory[[#This Row],[Target Quantity]]-refridgeratedinventory[[#This Row],[Current Quantity]])</f>
        <v>0</v>
      </c>
      <c r="H48" s="8" t="str">
        <f>IF(refridgeratedinventory[[#This Row],[Quantity Needed]]&gt;0, "YES","NO")</f>
        <v>NO</v>
      </c>
    </row>
    <row r="49" spans="2:8" ht="18" customHeight="1">
      <c r="B49" s="8" t="s">
        <v>183</v>
      </c>
      <c r="C49" s="8" t="s">
        <v>132</v>
      </c>
      <c r="D49" s="8" t="s">
        <v>34</v>
      </c>
      <c r="E49" s="7">
        <v>1</v>
      </c>
      <c r="F49" s="8">
        <v>0.5</v>
      </c>
      <c r="G49" s="8">
        <f>MAX(0,refridgeratedinventory[[#This Row],[Target Quantity]]-refridgeratedinventory[[#This Row],[Current Quantity]])</f>
        <v>0</v>
      </c>
      <c r="H49" s="8" t="str">
        <f>IF(refridgeratedinventory[[#This Row],[Quantity Needed]]&gt;0, "YES","NO")</f>
        <v>NO</v>
      </c>
    </row>
    <row r="50" spans="2:8" ht="18" customHeight="1">
      <c r="B50" s="8" t="s">
        <v>122</v>
      </c>
      <c r="C50" s="8" t="s">
        <v>132</v>
      </c>
      <c r="D50" s="8" t="s">
        <v>126</v>
      </c>
      <c r="E50" s="7">
        <v>1</v>
      </c>
      <c r="F50" s="8">
        <v>0.5</v>
      </c>
      <c r="G50" s="8">
        <f>MAX(0,refridgeratedinventory[[#This Row],[Target Quantity]]-refridgeratedinventory[[#This Row],[Current Quantity]])</f>
        <v>0</v>
      </c>
      <c r="H50" s="8" t="str">
        <f>IF(refridgeratedinventory[[#This Row],[Quantity Needed]]&gt;0, "YES","NO")</f>
        <v>NO</v>
      </c>
    </row>
    <row r="51" spans="2:8" ht="18" customHeight="1">
      <c r="B51" s="8" t="s">
        <v>188</v>
      </c>
      <c r="C51" s="8" t="s">
        <v>132</v>
      </c>
      <c r="D51" s="8" t="s">
        <v>57</v>
      </c>
      <c r="E51" s="7">
        <v>1</v>
      </c>
      <c r="F51" s="8">
        <v>1</v>
      </c>
      <c r="G51" s="8">
        <f>MAX(0,refridgeratedinventory[[#This Row],[Target Quantity]]-refridgeratedinventory[[#This Row],[Current Quantity]])</f>
        <v>0</v>
      </c>
      <c r="H51" s="8" t="str">
        <f>IF(refridgeratedinventory[[#This Row],[Quantity Needed]]&gt;0, "YES","NO")</f>
        <v>NO</v>
      </c>
    </row>
    <row r="52" spans="2:8" ht="18" customHeight="1">
      <c r="B52" s="8" t="s">
        <v>38</v>
      </c>
      <c r="C52" s="8" t="s">
        <v>28</v>
      </c>
      <c r="D52" s="8" t="s">
        <v>34</v>
      </c>
      <c r="E52" s="7">
        <v>2</v>
      </c>
      <c r="F52" s="8">
        <v>12</v>
      </c>
      <c r="G52" s="8">
        <f>MAX(0,refridgeratedinventory[[#This Row],[Target Quantity]]-refridgeratedinventory[[#This Row],[Current Quantity]])</f>
        <v>10</v>
      </c>
      <c r="H52" s="8" t="str">
        <f>IF(refridgeratedinventory[[#This Row],[Quantity Needed]]&gt;0, "YES","NO")</f>
        <v>YES</v>
      </c>
    </row>
    <row r="53" spans="2:8" ht="18" customHeight="1">
      <c r="B53" s="8" t="s">
        <v>45</v>
      </c>
      <c r="C53" s="8" t="s">
        <v>28</v>
      </c>
      <c r="D53" s="8" t="s">
        <v>34</v>
      </c>
      <c r="E53" s="7">
        <v>1</v>
      </c>
      <c r="F53" s="8">
        <v>3</v>
      </c>
      <c r="G53" s="8">
        <f>MAX(0,refridgeratedinventory[[#This Row],[Target Quantity]]-refridgeratedinventory[[#This Row],[Current Quantity]])</f>
        <v>2</v>
      </c>
      <c r="H53" s="8" t="str">
        <f>IF(refridgeratedinventory[[#This Row],[Quantity Needed]]&gt;0, "YES","NO")</f>
        <v>YES</v>
      </c>
    </row>
    <row r="54" spans="2:8" ht="18" customHeight="1">
      <c r="B54" s="8" t="s">
        <v>159</v>
      </c>
      <c r="C54" s="8" t="s">
        <v>28</v>
      </c>
      <c r="D54" s="8" t="s">
        <v>42</v>
      </c>
      <c r="E54" s="7">
        <v>1</v>
      </c>
      <c r="F54" s="8">
        <v>2</v>
      </c>
      <c r="G54" s="8">
        <f>MAX(0,refridgeratedinventory[[#This Row],[Target Quantity]]-refridgeratedinventory[[#This Row],[Current Quantity]])</f>
        <v>1</v>
      </c>
      <c r="H54" s="8" t="str">
        <f>IF(refridgeratedinventory[[#This Row],[Quantity Needed]]&gt;0, "YES","NO")</f>
        <v>YES</v>
      </c>
    </row>
    <row r="55" spans="2:8" ht="18" customHeight="1">
      <c r="B55" s="8" t="s">
        <v>95</v>
      </c>
      <c r="C55" s="8" t="s">
        <v>30</v>
      </c>
      <c r="D55" s="8" t="s">
        <v>34</v>
      </c>
      <c r="E55" s="7">
        <v>1</v>
      </c>
      <c r="F55" s="8">
        <v>1</v>
      </c>
      <c r="G55" s="8">
        <f>MAX(0,refridgeratedinventory[[#This Row],[Target Quantity]]-refridgeratedinventory[[#This Row],[Current Quantity]])</f>
        <v>0</v>
      </c>
      <c r="H55" s="8" t="str">
        <f>IF(refridgeratedinventory[[#This Row],[Quantity Needed]]&gt;0, "YES","NO")</f>
        <v>NO</v>
      </c>
    </row>
    <row r="56" spans="2:8" ht="18" customHeight="1">
      <c r="B56" s="8" t="s">
        <v>49</v>
      </c>
      <c r="C56" s="8" t="s">
        <v>30</v>
      </c>
      <c r="D56" s="8" t="s">
        <v>34</v>
      </c>
      <c r="E56" s="7">
        <v>2</v>
      </c>
      <c r="F56" s="8">
        <v>3</v>
      </c>
      <c r="G56" s="8">
        <f>MAX(0,refridgeratedinventory[[#This Row],[Target Quantity]]-refridgeratedinventory[[#This Row],[Current Quantity]])</f>
        <v>1</v>
      </c>
      <c r="H56" s="8" t="str">
        <f>IF(refridgeratedinventory[[#This Row],[Quantity Needed]]&gt;0, "YES","NO")</f>
        <v>YES</v>
      </c>
    </row>
    <row r="57" spans="2:8" ht="18" customHeight="1">
      <c r="B57" s="8" t="s">
        <v>50</v>
      </c>
      <c r="C57" s="8" t="s">
        <v>30</v>
      </c>
      <c r="D57" s="8" t="s">
        <v>34</v>
      </c>
      <c r="E57" s="7">
        <v>2</v>
      </c>
      <c r="F57" s="8">
        <v>3</v>
      </c>
      <c r="G57" s="8">
        <f>MAX(0,refridgeratedinventory[[#This Row],[Target Quantity]]-refridgeratedinventory[[#This Row],[Current Quantity]])</f>
        <v>1</v>
      </c>
      <c r="H57" s="8" t="str">
        <f>IF(refridgeratedinventory[[#This Row],[Quantity Needed]]&gt;0, "YES","NO")</f>
        <v>YES</v>
      </c>
    </row>
    <row r="58" spans="2:8" ht="18" customHeight="1">
      <c r="B58" s="8" t="s">
        <v>51</v>
      </c>
      <c r="C58" s="8" t="s">
        <v>30</v>
      </c>
      <c r="D58" s="8" t="s">
        <v>34</v>
      </c>
      <c r="E58" s="7">
        <v>1</v>
      </c>
      <c r="F58" s="8">
        <v>2</v>
      </c>
      <c r="G58" s="8">
        <f>MAX(0,refridgeratedinventory[[#This Row],[Target Quantity]]-refridgeratedinventory[[#This Row],[Current Quantity]])</f>
        <v>1</v>
      </c>
      <c r="H58" s="8" t="str">
        <f>IF(refridgeratedinventory[[#This Row],[Quantity Needed]]&gt;0, "YES","NO")</f>
        <v>YES</v>
      </c>
    </row>
    <row r="59" spans="2:8" ht="18" customHeight="1">
      <c r="B59" s="8" t="s">
        <v>94</v>
      </c>
      <c r="C59" s="8" t="s">
        <v>30</v>
      </c>
      <c r="D59" s="8" t="s">
        <v>34</v>
      </c>
      <c r="E59" s="7">
        <v>1</v>
      </c>
      <c r="F59" s="8">
        <v>1</v>
      </c>
      <c r="G59" s="8">
        <f>MAX(0,refridgeratedinventory[[#This Row],[Target Quantity]]-refridgeratedinventory[[#This Row],[Current Quantity]])</f>
        <v>0</v>
      </c>
      <c r="H59" s="8" t="str">
        <f>IF(refridgeratedinventory[[#This Row],[Quantity Needed]]&gt;0, "YES","NO")</f>
        <v>NO</v>
      </c>
    </row>
    <row r="60" spans="2:8" ht="19" customHeight="1">
      <c r="B60" s="8" t="s">
        <v>93</v>
      </c>
      <c r="C60" s="8" t="s">
        <v>30</v>
      </c>
      <c r="D60" s="8" t="s">
        <v>34</v>
      </c>
      <c r="E60" s="7">
        <v>1</v>
      </c>
      <c r="F60" s="8">
        <v>1</v>
      </c>
      <c r="G60" s="8">
        <f>MAX(0,refridgeratedinventory[[#This Row],[Target Quantity]]-refridgeratedinventory[[#This Row],[Current Quantity]])</f>
        <v>0</v>
      </c>
      <c r="H60" s="8" t="str">
        <f>IF(refridgeratedinventory[[#This Row],[Quantity Needed]]&gt;0, "YES","NO")</f>
        <v>NO</v>
      </c>
    </row>
    <row r="61" spans="2:8" ht="19" customHeight="1">
      <c r="B61" s="8" t="s">
        <v>55</v>
      </c>
      <c r="C61" s="8" t="s">
        <v>30</v>
      </c>
      <c r="D61" s="8" t="s">
        <v>126</v>
      </c>
      <c r="E61" s="7">
        <v>2</v>
      </c>
      <c r="F61" s="8">
        <v>1</v>
      </c>
      <c r="G61" s="8">
        <f>MAX(0,refridgeratedinventory[[#This Row],[Target Quantity]]-refridgeratedinventory[[#This Row],[Current Quantity]])</f>
        <v>0</v>
      </c>
      <c r="H61" s="8" t="str">
        <f>IF(refridgeratedinventory[[#This Row],[Quantity Needed]]&gt;0, "YES","NO")</f>
        <v>NO</v>
      </c>
    </row>
    <row r="62" spans="2:8" ht="19" customHeight="1">
      <c r="B62" s="8" t="s">
        <v>56</v>
      </c>
      <c r="C62" s="8" t="s">
        <v>30</v>
      </c>
      <c r="D62" s="8" t="s">
        <v>34</v>
      </c>
      <c r="E62" s="7">
        <v>1</v>
      </c>
      <c r="F62" s="8">
        <v>1</v>
      </c>
      <c r="G62" s="8">
        <f>MAX(0,refridgeratedinventory[[#This Row],[Target Quantity]]-refridgeratedinventory[[#This Row],[Current Quantity]])</f>
        <v>0</v>
      </c>
      <c r="H62" s="8" t="str">
        <f>IF(refridgeratedinventory[[#This Row],[Quantity Needed]]&gt;0, "YES","NO")</f>
        <v>NO</v>
      </c>
    </row>
    <row r="63" spans="2:8" ht="19" customHeight="1">
      <c r="B63" s="8" t="s">
        <v>91</v>
      </c>
      <c r="C63" s="8" t="s">
        <v>30</v>
      </c>
      <c r="D63" s="8" t="s">
        <v>34</v>
      </c>
      <c r="E63" s="7">
        <v>0</v>
      </c>
      <c r="F63" s="8">
        <v>1</v>
      </c>
      <c r="G63" s="8">
        <f>MAX(0,refridgeratedinventory[[#This Row],[Target Quantity]]-refridgeratedinventory[[#This Row],[Current Quantity]])</f>
        <v>1</v>
      </c>
      <c r="H63" s="8" t="str">
        <f>IF(refridgeratedinventory[[#This Row],[Quantity Needed]]&gt;0, "YES","NO")</f>
        <v>YES</v>
      </c>
    </row>
    <row r="64" spans="2:8" ht="19" customHeight="1">
      <c r="B64" s="8" t="s">
        <v>90</v>
      </c>
      <c r="C64" s="8" t="s">
        <v>30</v>
      </c>
      <c r="D64" s="8" t="s">
        <v>34</v>
      </c>
      <c r="E64" s="7">
        <v>0</v>
      </c>
      <c r="F64" s="8">
        <v>1</v>
      </c>
      <c r="G64" s="8">
        <f>MAX(0,refridgeratedinventory[[#This Row],[Target Quantity]]-refridgeratedinventory[[#This Row],[Current Quantity]])</f>
        <v>1</v>
      </c>
      <c r="H64" s="8" t="str">
        <f>IF(refridgeratedinventory[[#This Row],[Quantity Needed]]&gt;0, "YES","NO")</f>
        <v>YES</v>
      </c>
    </row>
    <row r="65" spans="2:8" ht="19" customHeight="1">
      <c r="B65" s="8" t="s">
        <v>89</v>
      </c>
      <c r="C65" s="8" t="s">
        <v>30</v>
      </c>
      <c r="D65" s="8" t="s">
        <v>126</v>
      </c>
      <c r="E65" s="7">
        <v>1</v>
      </c>
      <c r="F65" s="8">
        <v>2</v>
      </c>
      <c r="G65" s="8">
        <f>MAX(0,refridgeratedinventory[[#This Row],[Target Quantity]]-refridgeratedinventory[[#This Row],[Current Quantity]])</f>
        <v>1</v>
      </c>
      <c r="H65" s="8" t="str">
        <f>IF(refridgeratedinventory[[#This Row],[Quantity Needed]]&gt;0, "YES","NO")</f>
        <v>YES</v>
      </c>
    </row>
    <row r="66" spans="2:8" ht="19" customHeight="1">
      <c r="B66" s="8" t="s">
        <v>62</v>
      </c>
      <c r="C66" s="8" t="s">
        <v>30</v>
      </c>
      <c r="D66" s="8" t="s">
        <v>42</v>
      </c>
      <c r="E66" s="7">
        <v>0</v>
      </c>
      <c r="F66" s="8">
        <v>1</v>
      </c>
      <c r="G66" s="8">
        <f>MAX(0,refridgeratedinventory[[#This Row],[Target Quantity]]-refridgeratedinventory[[#This Row],[Current Quantity]])</f>
        <v>1</v>
      </c>
      <c r="H66" s="8" t="str">
        <f>IF(refridgeratedinventory[[#This Row],[Quantity Needed]]&gt;0, "YES","NO")</f>
        <v>YES</v>
      </c>
    </row>
    <row r="67" spans="2:8" ht="19" customHeight="1">
      <c r="B67" s="8" t="s">
        <v>88</v>
      </c>
      <c r="C67" s="8" t="s">
        <v>30</v>
      </c>
      <c r="D67" s="8" t="s">
        <v>34</v>
      </c>
      <c r="E67" s="7">
        <v>1</v>
      </c>
      <c r="F67" s="8">
        <v>1</v>
      </c>
      <c r="G67" s="8">
        <f>MAX(0,refridgeratedinventory[[#This Row],[Target Quantity]]-refridgeratedinventory[[#This Row],[Current Quantity]])</f>
        <v>0</v>
      </c>
      <c r="H67" s="8" t="str">
        <f>IF(refridgeratedinventory[[#This Row],[Quantity Needed]]&gt;0, "YES","NO")</f>
        <v>NO</v>
      </c>
    </row>
    <row r="68" spans="2:8" ht="19" customHeight="1">
      <c r="B68" s="8" t="s">
        <v>158</v>
      </c>
      <c r="C68" s="8" t="s">
        <v>30</v>
      </c>
      <c r="D68" s="8" t="s">
        <v>34</v>
      </c>
      <c r="E68" s="7">
        <v>3</v>
      </c>
      <c r="F68" s="8">
        <v>1</v>
      </c>
      <c r="G68" s="8">
        <f>MAX(0,refridgeratedinventory[[#This Row],[Target Quantity]]-refridgeratedinventory[[#This Row],[Current Quantity]])</f>
        <v>0</v>
      </c>
      <c r="H68" s="8" t="str">
        <f>IF(refridgeratedinventory[[#This Row],[Quantity Needed]]&gt;0, "YES","NO")</f>
        <v>NO</v>
      </c>
    </row>
    <row r="69" spans="2:8" ht="19" customHeight="1">
      <c r="B69" s="8" t="s">
        <v>46</v>
      </c>
      <c r="C69" s="8" t="s">
        <v>39</v>
      </c>
      <c r="D69" s="8" t="s">
        <v>126</v>
      </c>
      <c r="E69" s="7">
        <v>4</v>
      </c>
      <c r="F69" s="8">
        <v>5</v>
      </c>
      <c r="G69" s="8">
        <f>MAX(0,refridgeratedinventory[[#This Row],[Target Quantity]]-refridgeratedinventory[[#This Row],[Current Quantity]])</f>
        <v>1</v>
      </c>
      <c r="H69" s="8" t="str">
        <f>IF(refridgeratedinventory[[#This Row],[Quantity Needed]]&gt;0, "YES","NO")</f>
        <v>YES</v>
      </c>
    </row>
    <row r="70" spans="2:8" ht="19" customHeight="1">
      <c r="B70" s="8" t="s">
        <v>155</v>
      </c>
      <c r="C70" s="8" t="s">
        <v>39</v>
      </c>
      <c r="D70" s="8" t="s">
        <v>126</v>
      </c>
      <c r="E70" s="7">
        <v>4</v>
      </c>
      <c r="F70" s="8">
        <v>2</v>
      </c>
      <c r="G70" s="8">
        <f>MAX(0,refridgeratedinventory[[#This Row],[Target Quantity]]-refridgeratedinventory[[#This Row],[Current Quantity]])</f>
        <v>0</v>
      </c>
      <c r="H70" s="8" t="str">
        <f>IF(refridgeratedinventory[[#This Row],[Quantity Needed]]&gt;0, "YES","NO")</f>
        <v>NO</v>
      </c>
    </row>
    <row r="71" spans="2:8" ht="19" customHeight="1">
      <c r="B71" s="8"/>
      <c r="C71" s="8"/>
      <c r="D71" s="8"/>
      <c r="E71" s="7"/>
      <c r="F71" s="8"/>
      <c r="G71" s="8"/>
      <c r="H71" s="8"/>
    </row>
    <row r="72" spans="2:8" ht="19" customHeight="1">
      <c r="B72" s="8"/>
      <c r="C72" s="8"/>
      <c r="D72" s="8"/>
      <c r="E72" s="7"/>
      <c r="F72" s="8"/>
      <c r="G72" s="8"/>
      <c r="H72" s="8"/>
    </row>
    <row r="73" spans="2:8" ht="19" customHeight="1">
      <c r="B73" s="8"/>
      <c r="C73" s="8"/>
      <c r="D73" s="8"/>
      <c r="E73" s="7"/>
      <c r="F73" s="8"/>
      <c r="G73" s="8"/>
      <c r="H73" s="8"/>
    </row>
    <row r="74" spans="2:8" ht="19" customHeight="1"/>
    <row r="75" spans="2:8" ht="34" customHeight="1">
      <c r="B75" s="115" t="s">
        <v>12</v>
      </c>
      <c r="C75" s="115"/>
      <c r="D75" s="115"/>
      <c r="E75" s="115"/>
      <c r="F75" s="115"/>
      <c r="G75" s="115"/>
      <c r="H75" s="115"/>
    </row>
    <row r="76" spans="2:8" ht="19" customHeight="1">
      <c r="B76" s="56" t="s">
        <v>0</v>
      </c>
      <c r="C76" s="56" t="s">
        <v>1</v>
      </c>
      <c r="D76" s="56" t="s">
        <v>26</v>
      </c>
      <c r="E76" s="56" t="s">
        <v>3</v>
      </c>
      <c r="F76" s="56" t="s">
        <v>4</v>
      </c>
      <c r="G76" s="56" t="s">
        <v>14</v>
      </c>
      <c r="H76" s="56" t="s">
        <v>2</v>
      </c>
    </row>
    <row r="77" spans="2:8" ht="19" customHeight="1">
      <c r="B77" s="8" t="s">
        <v>86</v>
      </c>
      <c r="C77" s="8" t="s">
        <v>130</v>
      </c>
      <c r="D77" s="8" t="s">
        <v>137</v>
      </c>
      <c r="E77" s="7">
        <v>15</v>
      </c>
      <c r="F77" s="8">
        <v>10</v>
      </c>
      <c r="G77" s="8">
        <f>MAX(0,dryinventory[[#This Row],[Target Quantity]]-dryinventory[[#This Row],[Current Quantity]])</f>
        <v>0</v>
      </c>
      <c r="H77" s="8" t="str">
        <f>IF(dryinventory[[#This Row],[Quantity Needed]]&gt;0, "YES","NO")</f>
        <v>NO</v>
      </c>
    </row>
    <row r="78" spans="2:8" ht="18" customHeight="1">
      <c r="B78" s="8" t="s">
        <v>71</v>
      </c>
      <c r="C78" s="8" t="s">
        <v>130</v>
      </c>
      <c r="D78" s="8" t="s">
        <v>57</v>
      </c>
      <c r="E78" s="7">
        <v>3</v>
      </c>
      <c r="F78" s="8">
        <v>1</v>
      </c>
      <c r="G78" s="8">
        <f>MAX(0,dryinventory[[#This Row],[Target Quantity]]-dryinventory[[#This Row],[Current Quantity]])</f>
        <v>0</v>
      </c>
      <c r="H78" s="8" t="str">
        <f>IF(dryinventory[[#This Row],[Quantity Needed]]&gt;0, "YES","NO")</f>
        <v>NO</v>
      </c>
    </row>
    <row r="79" spans="2:8" ht="18" customHeight="1">
      <c r="B79" s="8" t="s">
        <v>97</v>
      </c>
      <c r="C79" s="8" t="s">
        <v>130</v>
      </c>
      <c r="D79" s="8" t="s">
        <v>57</v>
      </c>
      <c r="E79" s="7">
        <v>3</v>
      </c>
      <c r="F79" s="8">
        <v>1</v>
      </c>
      <c r="G79" s="8">
        <f>MAX(0,dryinventory[[#This Row],[Target Quantity]]-dryinventory[[#This Row],[Current Quantity]])</f>
        <v>0</v>
      </c>
      <c r="H79" s="8" t="str">
        <f>IF(dryinventory[[#This Row],[Quantity Needed]]&gt;0, "YES","NO")</f>
        <v>NO</v>
      </c>
    </row>
    <row r="80" spans="2:8" ht="18" customHeight="1">
      <c r="B80" s="8" t="s">
        <v>98</v>
      </c>
      <c r="C80" s="8" t="s">
        <v>130</v>
      </c>
      <c r="D80" s="8" t="s">
        <v>57</v>
      </c>
      <c r="E80" s="7">
        <v>2</v>
      </c>
      <c r="F80" s="8">
        <v>2</v>
      </c>
      <c r="G80" s="8">
        <f>MAX(0,dryinventory[[#This Row],[Target Quantity]]-dryinventory[[#This Row],[Current Quantity]])</f>
        <v>0</v>
      </c>
      <c r="H80" s="8" t="str">
        <f>IF(dryinventory[[#This Row],[Quantity Needed]]&gt;0, "YES","NO")</f>
        <v>NO</v>
      </c>
    </row>
    <row r="81" spans="2:8" ht="18" customHeight="1">
      <c r="B81" s="8" t="s">
        <v>99</v>
      </c>
      <c r="C81" s="8" t="s">
        <v>130</v>
      </c>
      <c r="D81" s="8" t="s">
        <v>126</v>
      </c>
      <c r="E81" s="7">
        <v>0</v>
      </c>
      <c r="F81" s="8">
        <v>1</v>
      </c>
      <c r="G81" s="8">
        <f>MAX(0,dryinventory[[#This Row],[Target Quantity]]-dryinventory[[#This Row],[Current Quantity]])</f>
        <v>1</v>
      </c>
      <c r="H81" s="8" t="str">
        <f>IF(dryinventory[[#This Row],[Quantity Needed]]&gt;0, "YES","NO")</f>
        <v>YES</v>
      </c>
    </row>
    <row r="82" spans="2:8" ht="18" customHeight="1">
      <c r="B82" s="8" t="s">
        <v>100</v>
      </c>
      <c r="C82" s="8" t="s">
        <v>130</v>
      </c>
      <c r="D82" s="8" t="s">
        <v>42</v>
      </c>
      <c r="E82" s="7">
        <v>3</v>
      </c>
      <c r="F82" s="8">
        <v>1</v>
      </c>
      <c r="G82" s="8">
        <f>MAX(0,dryinventory[[#This Row],[Target Quantity]]-dryinventory[[#This Row],[Current Quantity]])</f>
        <v>0</v>
      </c>
      <c r="H82" s="8" t="str">
        <f>IF(dryinventory[[#This Row],[Quantity Needed]]&gt;0, "YES","NO")</f>
        <v>NO</v>
      </c>
    </row>
    <row r="83" spans="2:8" ht="18" customHeight="1">
      <c r="B83" s="8" t="s">
        <v>101</v>
      </c>
      <c r="C83" s="8" t="s">
        <v>130</v>
      </c>
      <c r="D83" s="8" t="s">
        <v>126</v>
      </c>
      <c r="E83" s="7">
        <v>4</v>
      </c>
      <c r="F83" s="8">
        <v>1</v>
      </c>
      <c r="G83" s="8">
        <f>MAX(0,dryinventory[[#This Row],[Target Quantity]]-dryinventory[[#This Row],[Current Quantity]])</f>
        <v>0</v>
      </c>
      <c r="H83" s="8" t="str">
        <f>IF(dryinventory[[#This Row],[Quantity Needed]]&gt;0, "YES","NO")</f>
        <v>NO</v>
      </c>
    </row>
    <row r="84" spans="2:8" ht="18" customHeight="1">
      <c r="B84" s="8" t="s">
        <v>123</v>
      </c>
      <c r="C84" s="8" t="s">
        <v>130</v>
      </c>
      <c r="D84" s="8" t="s">
        <v>57</v>
      </c>
      <c r="E84" s="7">
        <v>1</v>
      </c>
      <c r="F84" s="8">
        <v>2</v>
      </c>
      <c r="G84" s="8">
        <f>MAX(0,dryinventory[[#This Row],[Target Quantity]]-dryinventory[[#This Row],[Current Quantity]])</f>
        <v>1</v>
      </c>
      <c r="H84" s="8" t="str">
        <f>IF(dryinventory[[#This Row],[Quantity Needed]]&gt;0, "YES","NO")</f>
        <v>YES</v>
      </c>
    </row>
    <row r="85" spans="2:8" ht="18" customHeight="1">
      <c r="B85" s="8" t="s">
        <v>147</v>
      </c>
      <c r="C85" s="8" t="s">
        <v>130</v>
      </c>
      <c r="D85" s="8" t="s">
        <v>42</v>
      </c>
      <c r="E85" s="7">
        <v>1</v>
      </c>
      <c r="F85" s="8">
        <v>3</v>
      </c>
      <c r="G85" s="8">
        <f>MAX(0,dryinventory[[#This Row],[Target Quantity]]-dryinventory[[#This Row],[Current Quantity]])</f>
        <v>2</v>
      </c>
      <c r="H85" s="8" t="str">
        <f>IF(dryinventory[[#This Row],[Quantity Needed]]&gt;0, "YES","NO")</f>
        <v>YES</v>
      </c>
    </row>
    <row r="86" spans="2:8" ht="18" customHeight="1">
      <c r="B86" s="8" t="s">
        <v>150</v>
      </c>
      <c r="C86" s="8" t="s">
        <v>130</v>
      </c>
      <c r="D86" s="8" t="s">
        <v>126</v>
      </c>
      <c r="E86" s="7">
        <v>5</v>
      </c>
      <c r="F86" s="8">
        <v>3</v>
      </c>
      <c r="G86" s="8">
        <f>MAX(0,dryinventory[[#This Row],[Target Quantity]]-dryinventory[[#This Row],[Current Quantity]])</f>
        <v>0</v>
      </c>
      <c r="H86" s="8" t="str">
        <f>IF(dryinventory[[#This Row],[Quantity Needed]]&gt;0, "YES","NO")</f>
        <v>NO</v>
      </c>
    </row>
    <row r="87" spans="2:8" ht="18" customHeight="1">
      <c r="B87" s="8" t="s">
        <v>117</v>
      </c>
      <c r="C87" s="8" t="s">
        <v>131</v>
      </c>
      <c r="D87" s="8" t="s">
        <v>126</v>
      </c>
      <c r="E87" s="7">
        <v>6</v>
      </c>
      <c r="F87" s="8">
        <v>3</v>
      </c>
      <c r="G87" s="8">
        <f>MAX(0,dryinventory[[#This Row],[Target Quantity]]-dryinventory[[#This Row],[Current Quantity]])</f>
        <v>0</v>
      </c>
      <c r="H87" s="8" t="str">
        <f>IF(dryinventory[[#This Row],[Quantity Needed]]&gt;0, "YES","NO")</f>
        <v>NO</v>
      </c>
    </row>
    <row r="88" spans="2:8" ht="18" customHeight="1">
      <c r="B88" s="8" t="s">
        <v>72</v>
      </c>
      <c r="C88" s="8" t="s">
        <v>32</v>
      </c>
      <c r="D88" s="8" t="s">
        <v>57</v>
      </c>
      <c r="E88" s="7">
        <v>13</v>
      </c>
      <c r="F88" s="8">
        <v>15</v>
      </c>
      <c r="G88" s="8">
        <f>MAX(0,dryinventory[[#This Row],[Target Quantity]]-dryinventory[[#This Row],[Current Quantity]])</f>
        <v>2</v>
      </c>
      <c r="H88" s="8" t="str">
        <f>IF(dryinventory[[#This Row],[Quantity Needed]]&gt;0, "YES","NO")</f>
        <v>YES</v>
      </c>
    </row>
    <row r="89" spans="2:8" ht="18" customHeight="1">
      <c r="B89" s="8" t="s">
        <v>73</v>
      </c>
      <c r="C89" s="8" t="s">
        <v>32</v>
      </c>
      <c r="D89" s="8" t="s">
        <v>57</v>
      </c>
      <c r="E89" s="7">
        <v>12</v>
      </c>
      <c r="F89" s="8">
        <v>15</v>
      </c>
      <c r="G89" s="8">
        <f>MAX(0,dryinventory[[#This Row],[Target Quantity]]-dryinventory[[#This Row],[Current Quantity]])</f>
        <v>3</v>
      </c>
      <c r="H89" s="8" t="str">
        <f>IF(dryinventory[[#This Row],[Quantity Needed]]&gt;0, "YES","NO")</f>
        <v>YES</v>
      </c>
    </row>
    <row r="90" spans="2:8" ht="18" customHeight="1">
      <c r="B90" s="8" t="s">
        <v>161</v>
      </c>
      <c r="C90" s="8" t="s">
        <v>32</v>
      </c>
      <c r="D90" s="8" t="s">
        <v>34</v>
      </c>
      <c r="E90" s="7">
        <v>1</v>
      </c>
      <c r="F90" s="8">
        <v>0.5</v>
      </c>
      <c r="G90" s="8">
        <f>MAX(0,dryinventory[[#This Row],[Target Quantity]]-dryinventory[[#This Row],[Current Quantity]])</f>
        <v>0</v>
      </c>
      <c r="H90" s="8" t="str">
        <f>IF(dryinventory[[#This Row],[Quantity Needed]]&gt;0, "YES","NO")</f>
        <v>NO</v>
      </c>
    </row>
    <row r="91" spans="2:8" ht="18" customHeight="1">
      <c r="B91" s="8" t="s">
        <v>166</v>
      </c>
      <c r="C91" s="8" t="s">
        <v>32</v>
      </c>
      <c r="D91" s="8" t="s">
        <v>57</v>
      </c>
      <c r="E91" s="7">
        <v>4</v>
      </c>
      <c r="F91" s="8">
        <v>15</v>
      </c>
      <c r="G91" s="8">
        <f>MAX(0,dryinventory[[#This Row],[Target Quantity]]-dryinventory[[#This Row],[Current Quantity]])</f>
        <v>11</v>
      </c>
      <c r="H91" s="8" t="str">
        <f>IF(dryinventory[[#This Row],[Quantity Needed]]&gt;0, "YES","NO")</f>
        <v>YES</v>
      </c>
    </row>
    <row r="92" spans="2:8" ht="18" customHeight="1">
      <c r="B92" s="8" t="s">
        <v>118</v>
      </c>
      <c r="C92" s="8" t="s">
        <v>132</v>
      </c>
      <c r="D92" s="8" t="s">
        <v>42</v>
      </c>
      <c r="E92" s="7">
        <v>1</v>
      </c>
      <c r="F92" s="8">
        <v>1</v>
      </c>
      <c r="G92" s="8">
        <f>MAX(0,dryinventory[[#This Row],[Target Quantity]]-dryinventory[[#This Row],[Current Quantity]])</f>
        <v>0</v>
      </c>
      <c r="H92" s="8" t="str">
        <f>IF(dryinventory[[#This Row],[Quantity Needed]]&gt;0, "YES","NO")</f>
        <v>NO</v>
      </c>
    </row>
    <row r="93" spans="2:8" ht="18" customHeight="1">
      <c r="B93" s="8" t="s">
        <v>119</v>
      </c>
      <c r="C93" s="8" t="s">
        <v>132</v>
      </c>
      <c r="D93" s="8" t="s">
        <v>42</v>
      </c>
      <c r="E93" s="7">
        <v>1</v>
      </c>
      <c r="F93" s="8">
        <v>0.5</v>
      </c>
      <c r="G93" s="8">
        <f>MAX(0,dryinventory[[#This Row],[Target Quantity]]-dryinventory[[#This Row],[Current Quantity]])</f>
        <v>0</v>
      </c>
      <c r="H93" s="8" t="str">
        <f>IF(dryinventory[[#This Row],[Quantity Needed]]&gt;0, "YES","NO")</f>
        <v>NO</v>
      </c>
    </row>
    <row r="94" spans="2:8" ht="18" customHeight="1">
      <c r="B94" s="8" t="s">
        <v>120</v>
      </c>
      <c r="C94" s="8" t="s">
        <v>132</v>
      </c>
      <c r="D94" s="8" t="s">
        <v>42</v>
      </c>
      <c r="E94" s="7">
        <v>0</v>
      </c>
      <c r="F94" s="8">
        <v>0.5</v>
      </c>
      <c r="G94" s="8">
        <f>MAX(0,dryinventory[[#This Row],[Target Quantity]]-dryinventory[[#This Row],[Current Quantity]])</f>
        <v>0.5</v>
      </c>
      <c r="H94" s="8" t="str">
        <f>IF(dryinventory[[#This Row],[Quantity Needed]]&gt;0, "YES","NO")</f>
        <v>YES</v>
      </c>
    </row>
    <row r="95" spans="2:8" ht="18" customHeight="1">
      <c r="B95" s="8" t="s">
        <v>145</v>
      </c>
      <c r="C95" s="8" t="s">
        <v>132</v>
      </c>
      <c r="D95" s="8" t="s">
        <v>42</v>
      </c>
      <c r="E95" s="7">
        <v>2</v>
      </c>
      <c r="F95" s="8">
        <v>2</v>
      </c>
      <c r="G95" s="8">
        <f>MAX(0,dryinventory[[#This Row],[Target Quantity]]-dryinventory[[#This Row],[Current Quantity]])</f>
        <v>0</v>
      </c>
      <c r="H95" s="8" t="str">
        <f>IF(dryinventory[[#This Row],[Quantity Needed]]&gt;0, "YES","NO")</f>
        <v>NO</v>
      </c>
    </row>
    <row r="96" spans="2:8" ht="18" customHeight="1">
      <c r="B96" s="8" t="s">
        <v>79</v>
      </c>
      <c r="C96" s="8" t="s">
        <v>132</v>
      </c>
      <c r="D96" s="8" t="s">
        <v>42</v>
      </c>
      <c r="E96" s="7">
        <v>4</v>
      </c>
      <c r="F96" s="8">
        <v>3</v>
      </c>
      <c r="G96" s="8">
        <f>MAX(0,dryinventory[[#This Row],[Target Quantity]]-dryinventory[[#This Row],[Current Quantity]])</f>
        <v>0</v>
      </c>
      <c r="H96" s="8" t="str">
        <f>IF(dryinventory[[#This Row],[Quantity Needed]]&gt;0, "YES","NO")</f>
        <v>NO</v>
      </c>
    </row>
    <row r="97" spans="2:8" ht="18" customHeight="1">
      <c r="B97" s="8" t="s">
        <v>111</v>
      </c>
      <c r="C97" s="8" t="s">
        <v>132</v>
      </c>
      <c r="D97" s="8" t="s">
        <v>126</v>
      </c>
      <c r="E97" s="7">
        <v>1</v>
      </c>
      <c r="F97" s="8">
        <v>0.5</v>
      </c>
      <c r="G97" s="8">
        <f>MAX(0,dryinventory[[#This Row],[Target Quantity]]-dryinventory[[#This Row],[Current Quantity]])</f>
        <v>0</v>
      </c>
      <c r="H97" s="8" t="str">
        <f>IF(dryinventory[[#This Row],[Quantity Needed]]&gt;0, "YES","NO")</f>
        <v>NO</v>
      </c>
    </row>
    <row r="98" spans="2:8" ht="18" customHeight="1">
      <c r="B98" s="8" t="s">
        <v>168</v>
      </c>
      <c r="C98" s="8" t="s">
        <v>132</v>
      </c>
      <c r="D98" s="8" t="s">
        <v>34</v>
      </c>
      <c r="E98" s="7">
        <v>1</v>
      </c>
      <c r="F98" s="8">
        <v>0.25</v>
      </c>
      <c r="G98" s="8">
        <f>MAX(0,dryinventory[[#This Row],[Target Quantity]]-dryinventory[[#This Row],[Current Quantity]])</f>
        <v>0</v>
      </c>
      <c r="H98" s="8" t="str">
        <f>IF(dryinventory[[#This Row],[Quantity Needed]]&gt;0, "YES","NO")</f>
        <v>NO</v>
      </c>
    </row>
    <row r="99" spans="2:8" ht="18" customHeight="1">
      <c r="B99" s="8" t="s">
        <v>67</v>
      </c>
      <c r="C99" s="8" t="s">
        <v>33</v>
      </c>
      <c r="D99" s="8" t="s">
        <v>136</v>
      </c>
      <c r="E99" s="7">
        <v>1</v>
      </c>
      <c r="F99" s="8">
        <v>1</v>
      </c>
      <c r="G99" s="8">
        <f>MAX(0,dryinventory[[#This Row],[Target Quantity]]-dryinventory[[#This Row],[Current Quantity]])</f>
        <v>0</v>
      </c>
      <c r="H99" s="8" t="str">
        <f>IF(dryinventory[[#This Row],[Quantity Needed]]&gt;0, "YES","NO")</f>
        <v>NO</v>
      </c>
    </row>
    <row r="100" spans="2:8" ht="18" customHeight="1">
      <c r="B100" s="8" t="s">
        <v>81</v>
      </c>
      <c r="C100" s="8" t="s">
        <v>33</v>
      </c>
      <c r="D100" s="8" t="s">
        <v>136</v>
      </c>
      <c r="E100" s="7">
        <v>1</v>
      </c>
      <c r="F100" s="8">
        <v>1</v>
      </c>
      <c r="G100" s="8">
        <f>MAX(0,dryinventory[[#This Row],[Target Quantity]]-dryinventory[[#This Row],[Current Quantity]])</f>
        <v>0</v>
      </c>
      <c r="H100" s="8" t="str">
        <f>IF(dryinventory[[#This Row],[Quantity Needed]]&gt;0, "YES","NO")</f>
        <v>NO</v>
      </c>
    </row>
    <row r="101" spans="2:8">
      <c r="B101" s="8" t="s">
        <v>80</v>
      </c>
      <c r="C101" s="8" t="s">
        <v>33</v>
      </c>
      <c r="D101" s="8" t="s">
        <v>34</v>
      </c>
      <c r="E101" s="7">
        <v>3</v>
      </c>
      <c r="F101" s="8">
        <v>0.5</v>
      </c>
      <c r="G101" s="8">
        <f>MAX(0,dryinventory[[#This Row],[Target Quantity]]-dryinventory[[#This Row],[Current Quantity]])</f>
        <v>0</v>
      </c>
      <c r="H101" s="8" t="str">
        <f>IF(dryinventory[[#This Row],[Quantity Needed]]&gt;0, "YES","NO")</f>
        <v>NO</v>
      </c>
    </row>
    <row r="102" spans="2:8">
      <c r="B102" s="8" t="s">
        <v>78</v>
      </c>
      <c r="C102" s="8" t="s">
        <v>33</v>
      </c>
      <c r="D102" s="8" t="s">
        <v>133</v>
      </c>
      <c r="E102" s="7">
        <v>0</v>
      </c>
      <c r="F102" s="8">
        <v>1</v>
      </c>
      <c r="G102" s="8">
        <f>MAX(0,dryinventory[[#This Row],[Target Quantity]]-dryinventory[[#This Row],[Current Quantity]])</f>
        <v>1</v>
      </c>
      <c r="H102" s="8" t="str">
        <f>IF(dryinventory[[#This Row],[Quantity Needed]]&gt;0, "YES","NO")</f>
        <v>YES</v>
      </c>
    </row>
    <row r="103" spans="2:8">
      <c r="B103" s="8" t="s">
        <v>124</v>
      </c>
      <c r="C103" s="8" t="s">
        <v>33</v>
      </c>
      <c r="D103" s="8" t="s">
        <v>133</v>
      </c>
      <c r="E103" s="7">
        <v>1</v>
      </c>
      <c r="F103" s="8">
        <v>2</v>
      </c>
      <c r="G103" s="8">
        <f>MAX(0,dryinventory[[#This Row],[Target Quantity]]-dryinventory[[#This Row],[Current Quantity]])</f>
        <v>1</v>
      </c>
      <c r="H103" s="8" t="str">
        <f>IF(dryinventory[[#This Row],[Quantity Needed]]&gt;0, "YES","NO")</f>
        <v>YES</v>
      </c>
    </row>
    <row r="104" spans="2:8">
      <c r="B104" s="8" t="s">
        <v>151</v>
      </c>
      <c r="C104" s="8" t="s">
        <v>33</v>
      </c>
      <c r="D104" s="8" t="s">
        <v>42</v>
      </c>
      <c r="E104" s="7">
        <v>1</v>
      </c>
      <c r="F104" s="8">
        <v>2</v>
      </c>
      <c r="G104" s="8">
        <f>MAX(0,dryinventory[[#This Row],[Target Quantity]]-dryinventory[[#This Row],[Current Quantity]])</f>
        <v>1</v>
      </c>
      <c r="H104" s="8" t="str">
        <f>IF(dryinventory[[#This Row],[Quantity Needed]]&gt;0, "YES","NO")</f>
        <v>YES</v>
      </c>
    </row>
    <row r="105" spans="2:8">
      <c r="B105" s="8" t="s">
        <v>152</v>
      </c>
      <c r="C105" s="8" t="s">
        <v>33</v>
      </c>
      <c r="D105" s="8" t="s">
        <v>133</v>
      </c>
      <c r="E105" s="7">
        <v>12</v>
      </c>
      <c r="F105" s="8">
        <v>10</v>
      </c>
      <c r="G105" s="8">
        <f>MAX(0,dryinventory[[#This Row],[Target Quantity]]-dryinventory[[#This Row],[Current Quantity]])</f>
        <v>0</v>
      </c>
      <c r="H105" s="8" t="str">
        <f>IF(dryinventory[[#This Row],[Quantity Needed]]&gt;0, "YES","NO")</f>
        <v>NO</v>
      </c>
    </row>
    <row r="106" spans="2:8">
      <c r="B106" s="8" t="s">
        <v>186</v>
      </c>
      <c r="C106" s="8" t="s">
        <v>33</v>
      </c>
      <c r="D106" s="8" t="s">
        <v>133</v>
      </c>
      <c r="E106" s="7">
        <v>5</v>
      </c>
      <c r="F106" s="8">
        <v>5</v>
      </c>
      <c r="G106" s="8">
        <f>MAX(0,dryinventory[[#This Row],[Target Quantity]]-dryinventory[[#This Row],[Current Quantity]])</f>
        <v>0</v>
      </c>
      <c r="H106" s="8" t="str">
        <f>IF(dryinventory[[#This Row],[Quantity Needed]]&gt;0, "YES","NO")</f>
        <v>NO</v>
      </c>
    </row>
    <row r="107" spans="2:8">
      <c r="B107" s="8" t="s">
        <v>64</v>
      </c>
      <c r="C107" s="8" t="s">
        <v>39</v>
      </c>
      <c r="D107" s="8" t="s">
        <v>126</v>
      </c>
      <c r="E107" s="7">
        <v>2</v>
      </c>
      <c r="F107" s="8">
        <v>2</v>
      </c>
      <c r="G107" s="8">
        <f>MAX(0,dryinventory[[#This Row],[Target Quantity]]-dryinventory[[#This Row],[Current Quantity]])</f>
        <v>0</v>
      </c>
      <c r="H107" s="8" t="str">
        <f>IF(dryinventory[[#This Row],[Quantity Needed]]&gt;0, "YES","NO")</f>
        <v>NO</v>
      </c>
    </row>
    <row r="108" spans="2:8">
      <c r="B108" s="8" t="s">
        <v>65</v>
      </c>
      <c r="C108" s="8" t="s">
        <v>39</v>
      </c>
      <c r="D108" s="8" t="s">
        <v>126</v>
      </c>
      <c r="E108" s="7">
        <v>3</v>
      </c>
      <c r="F108" s="8">
        <v>8</v>
      </c>
      <c r="G108" s="8">
        <f>MAX(0,dryinventory[[#This Row],[Target Quantity]]-dryinventory[[#This Row],[Current Quantity]])</f>
        <v>5</v>
      </c>
      <c r="H108" s="8" t="str">
        <f>IF(dryinventory[[#This Row],[Quantity Needed]]&gt;0, "YES","NO")</f>
        <v>YES</v>
      </c>
    </row>
    <row r="109" spans="2:8">
      <c r="B109" s="8" t="s">
        <v>66</v>
      </c>
      <c r="C109" s="8" t="s">
        <v>39</v>
      </c>
      <c r="D109" s="8" t="s">
        <v>134</v>
      </c>
      <c r="E109" s="7">
        <v>1</v>
      </c>
      <c r="F109" s="8">
        <v>1</v>
      </c>
      <c r="G109" s="8">
        <f>MAX(0,dryinventory[[#This Row],[Target Quantity]]-dryinventory[[#This Row],[Current Quantity]])</f>
        <v>0</v>
      </c>
      <c r="H109" s="8" t="str">
        <f>IF(dryinventory[[#This Row],[Quantity Needed]]&gt;0, "YES","NO")</f>
        <v>NO</v>
      </c>
    </row>
    <row r="110" spans="2:8">
      <c r="B110" s="8" t="s">
        <v>87</v>
      </c>
      <c r="C110" s="8" t="s">
        <v>39</v>
      </c>
      <c r="D110" s="8" t="s">
        <v>40</v>
      </c>
      <c r="E110" s="7">
        <v>2</v>
      </c>
      <c r="F110" s="8">
        <v>5</v>
      </c>
      <c r="G110" s="8">
        <f>MAX(0,dryinventory[[#This Row],[Target Quantity]]-dryinventory[[#This Row],[Current Quantity]])</f>
        <v>3</v>
      </c>
      <c r="H110" s="8" t="str">
        <f>IF(dryinventory[[#This Row],[Quantity Needed]]&gt;0, "YES","NO")</f>
        <v>YES</v>
      </c>
    </row>
    <row r="111" spans="2:8">
      <c r="B111" s="8" t="s">
        <v>74</v>
      </c>
      <c r="C111" s="8" t="s">
        <v>39</v>
      </c>
      <c r="D111" s="8" t="s">
        <v>40</v>
      </c>
      <c r="E111" s="7">
        <v>5</v>
      </c>
      <c r="F111" s="8">
        <v>6</v>
      </c>
      <c r="G111" s="8">
        <f>MAX(0,dryinventory[[#This Row],[Target Quantity]]-dryinventory[[#This Row],[Current Quantity]])</f>
        <v>1</v>
      </c>
      <c r="H111" s="8" t="str">
        <f>IF(dryinventory[[#This Row],[Quantity Needed]]&gt;0, "YES","NO")</f>
        <v>YES</v>
      </c>
    </row>
    <row r="112" spans="2:8">
      <c r="B112" s="8" t="s">
        <v>106</v>
      </c>
      <c r="C112" s="8" t="s">
        <v>39</v>
      </c>
      <c r="D112" s="8" t="s">
        <v>126</v>
      </c>
      <c r="E112" s="7">
        <v>4</v>
      </c>
      <c r="F112" s="8">
        <v>2</v>
      </c>
      <c r="G112" s="8">
        <f>MAX(0,dryinventory[[#This Row],[Target Quantity]]-dryinventory[[#This Row],[Current Quantity]])</f>
        <v>0</v>
      </c>
      <c r="H112" s="8" t="str">
        <f>IF(dryinventory[[#This Row],[Quantity Needed]]&gt;0, "YES","NO")</f>
        <v>NO</v>
      </c>
    </row>
    <row r="113" spans="2:8">
      <c r="B113" s="8" t="s">
        <v>107</v>
      </c>
      <c r="C113" s="8" t="s">
        <v>39</v>
      </c>
      <c r="D113" s="8" t="s">
        <v>57</v>
      </c>
      <c r="E113" s="7">
        <v>5</v>
      </c>
      <c r="F113" s="8">
        <v>3</v>
      </c>
      <c r="G113" s="8">
        <f>MAX(0,dryinventory[[#This Row],[Target Quantity]]-dryinventory[[#This Row],[Current Quantity]])</f>
        <v>0</v>
      </c>
      <c r="H113" s="8" t="str">
        <f>IF(dryinventory[[#This Row],[Quantity Needed]]&gt;0, "YES","NO")</f>
        <v>NO</v>
      </c>
    </row>
    <row r="114" spans="2:8">
      <c r="B114" s="8" t="s">
        <v>108</v>
      </c>
      <c r="C114" s="8" t="s">
        <v>39</v>
      </c>
      <c r="D114" s="8" t="s">
        <v>126</v>
      </c>
      <c r="E114" s="7">
        <v>1</v>
      </c>
      <c r="F114" s="8">
        <v>1</v>
      </c>
      <c r="G114" s="8">
        <f>MAX(0,dryinventory[[#This Row],[Target Quantity]]-dryinventory[[#This Row],[Current Quantity]])</f>
        <v>0</v>
      </c>
      <c r="H114" s="8" t="str">
        <f>IF(dryinventory[[#This Row],[Quantity Needed]]&gt;0, "YES","NO")</f>
        <v>NO</v>
      </c>
    </row>
    <row r="115" spans="2:8">
      <c r="B115" s="8" t="s">
        <v>109</v>
      </c>
      <c r="C115" s="8" t="s">
        <v>39</v>
      </c>
      <c r="D115" s="8" t="s">
        <v>57</v>
      </c>
      <c r="E115" s="7">
        <v>1</v>
      </c>
      <c r="F115" s="8">
        <v>3</v>
      </c>
      <c r="G115" s="8">
        <f>MAX(0,dryinventory[[#This Row],[Target Quantity]]-dryinventory[[#This Row],[Current Quantity]])</f>
        <v>2</v>
      </c>
      <c r="H115" s="8" t="str">
        <f>IF(dryinventory[[#This Row],[Quantity Needed]]&gt;0, "YES","NO")</f>
        <v>YES</v>
      </c>
    </row>
    <row r="116" spans="2:8">
      <c r="B116" s="8" t="s">
        <v>112</v>
      </c>
      <c r="C116" s="8" t="s">
        <v>39</v>
      </c>
      <c r="D116" s="8" t="s">
        <v>126</v>
      </c>
      <c r="E116" s="7">
        <v>2</v>
      </c>
      <c r="F116" s="8">
        <v>1</v>
      </c>
      <c r="G116" s="8">
        <f>MAX(0,dryinventory[[#This Row],[Target Quantity]]-dryinventory[[#This Row],[Current Quantity]])</f>
        <v>0</v>
      </c>
      <c r="H116" s="8" t="str">
        <f>IF(dryinventory[[#This Row],[Quantity Needed]]&gt;0, "YES","NO")</f>
        <v>NO</v>
      </c>
    </row>
    <row r="117" spans="2:8">
      <c r="B117" s="8" t="s">
        <v>139</v>
      </c>
      <c r="C117" s="8" t="s">
        <v>39</v>
      </c>
      <c r="D117" s="8" t="s">
        <v>126</v>
      </c>
      <c r="E117" s="7">
        <v>1</v>
      </c>
      <c r="F117" s="8">
        <v>1</v>
      </c>
      <c r="G117" s="8">
        <f>MAX(0,dryinventory[[#This Row],[Target Quantity]]-dryinventory[[#This Row],[Current Quantity]])</f>
        <v>0</v>
      </c>
      <c r="H117" s="8" t="str">
        <f>IF(dryinventory[[#This Row],[Quantity Needed]]&gt;0, "YES","NO")</f>
        <v>NO</v>
      </c>
    </row>
    <row r="118" spans="2:8">
      <c r="B118" s="8" t="s">
        <v>140</v>
      </c>
      <c r="C118" s="8" t="s">
        <v>39</v>
      </c>
      <c r="D118" s="8" t="s">
        <v>126</v>
      </c>
      <c r="E118" s="7">
        <v>4</v>
      </c>
      <c r="F118" s="8">
        <v>1</v>
      </c>
      <c r="G118" s="8">
        <f>MAX(0,dryinventory[[#This Row],[Target Quantity]]-dryinventory[[#This Row],[Current Quantity]])</f>
        <v>0</v>
      </c>
      <c r="H118" s="8" t="str">
        <f>IF(dryinventory[[#This Row],[Quantity Needed]]&gt;0, "YES","NO")</f>
        <v>NO</v>
      </c>
    </row>
    <row r="119" spans="2:8">
      <c r="B119" s="8" t="s">
        <v>141</v>
      </c>
      <c r="C119" s="8" t="s">
        <v>39</v>
      </c>
      <c r="D119" s="8" t="s">
        <v>126</v>
      </c>
      <c r="E119" s="7">
        <v>5</v>
      </c>
      <c r="F119" s="8">
        <v>1</v>
      </c>
      <c r="G119" s="8">
        <f>MAX(0,dryinventory[[#This Row],[Target Quantity]]-dryinventory[[#This Row],[Current Quantity]])</f>
        <v>0</v>
      </c>
      <c r="H119" s="8" t="str">
        <f>IF(dryinventory[[#This Row],[Quantity Needed]]&gt;0, "YES","NO")</f>
        <v>NO</v>
      </c>
    </row>
    <row r="120" spans="2:8">
      <c r="B120" s="8" t="s">
        <v>144</v>
      </c>
      <c r="C120" s="8" t="s">
        <v>39</v>
      </c>
      <c r="D120" s="8" t="s">
        <v>57</v>
      </c>
      <c r="E120" s="7">
        <v>2</v>
      </c>
      <c r="F120" s="8">
        <v>3</v>
      </c>
      <c r="G120" s="8">
        <f>MAX(0,dryinventory[[#This Row],[Target Quantity]]-dryinventory[[#This Row],[Current Quantity]])</f>
        <v>1</v>
      </c>
      <c r="H120" s="8" t="str">
        <f>IF(dryinventory[[#This Row],[Quantity Needed]]&gt;0, "YES","NO")</f>
        <v>YES</v>
      </c>
    </row>
    <row r="121" spans="2:8">
      <c r="B121" s="8" t="s">
        <v>146</v>
      </c>
      <c r="C121" s="8" t="s">
        <v>39</v>
      </c>
      <c r="D121" s="8" t="s">
        <v>57</v>
      </c>
      <c r="E121" s="7">
        <v>0</v>
      </c>
      <c r="F121" s="8">
        <v>2</v>
      </c>
      <c r="G121" s="8">
        <f>MAX(0,dryinventory[[#This Row],[Target Quantity]]-dryinventory[[#This Row],[Current Quantity]])</f>
        <v>2</v>
      </c>
      <c r="H121" s="8" t="str">
        <f>IF(dryinventory[[#This Row],[Quantity Needed]]&gt;0, "YES","NO")</f>
        <v>YES</v>
      </c>
    </row>
    <row r="122" spans="2:8">
      <c r="B122" s="8" t="s">
        <v>148</v>
      </c>
      <c r="C122" s="8" t="s">
        <v>39</v>
      </c>
      <c r="D122" s="8" t="s">
        <v>126</v>
      </c>
      <c r="E122" s="7">
        <v>1</v>
      </c>
      <c r="F122" s="8">
        <v>1</v>
      </c>
      <c r="G122" s="8">
        <f>MAX(0,dryinventory[[#This Row],[Target Quantity]]-dryinventory[[#This Row],[Current Quantity]])</f>
        <v>0</v>
      </c>
      <c r="H122" s="8" t="str">
        <f>IF(dryinventory[[#This Row],[Quantity Needed]]&gt;0, "YES","NO")</f>
        <v>NO</v>
      </c>
    </row>
    <row r="123" spans="2:8">
      <c r="B123" s="8" t="s">
        <v>156</v>
      </c>
      <c r="C123" s="8" t="s">
        <v>39</v>
      </c>
      <c r="D123" s="8" t="s">
        <v>126</v>
      </c>
      <c r="E123" s="7">
        <v>2</v>
      </c>
      <c r="F123" s="8">
        <v>1</v>
      </c>
      <c r="G123" s="8">
        <f>MAX(0,dryinventory[[#This Row],[Target Quantity]]-dryinventory[[#This Row],[Current Quantity]])</f>
        <v>0</v>
      </c>
      <c r="H123" s="8" t="str">
        <f>IF(dryinventory[[#This Row],[Quantity Needed]]&gt;0, "YES","NO")</f>
        <v>NO</v>
      </c>
    </row>
    <row r="124" spans="2:8">
      <c r="B124" s="8" t="s">
        <v>157</v>
      </c>
      <c r="C124" s="8" t="s">
        <v>39</v>
      </c>
      <c r="D124" s="8" t="s">
        <v>126</v>
      </c>
      <c r="E124" s="7">
        <v>3</v>
      </c>
      <c r="F124" s="8">
        <v>1</v>
      </c>
      <c r="G124" s="8">
        <f>MAX(0,dryinventory[[#This Row],[Target Quantity]]-dryinventory[[#This Row],[Current Quantity]])</f>
        <v>0</v>
      </c>
      <c r="H124" s="8" t="str">
        <f>IF(dryinventory[[#This Row],[Quantity Needed]]&gt;0, "YES","NO")</f>
        <v>NO</v>
      </c>
    </row>
    <row r="125" spans="2:8">
      <c r="B125" s="8" t="s">
        <v>164</v>
      </c>
      <c r="C125" s="8" t="s">
        <v>39</v>
      </c>
      <c r="D125" s="8" t="s">
        <v>126</v>
      </c>
      <c r="E125" s="7">
        <v>1</v>
      </c>
      <c r="F125" s="8">
        <v>1</v>
      </c>
      <c r="G125" s="8">
        <f>MAX(0,dryinventory[[#This Row],[Target Quantity]]-dryinventory[[#This Row],[Current Quantity]])</f>
        <v>0</v>
      </c>
      <c r="H125" s="8" t="str">
        <f>IF(dryinventory[[#This Row],[Quantity Needed]]&gt;0, "YES","NO")</f>
        <v>NO</v>
      </c>
    </row>
    <row r="126" spans="2:8">
      <c r="B126" s="8" t="s">
        <v>169</v>
      </c>
      <c r="C126" s="8" t="s">
        <v>39</v>
      </c>
      <c r="D126" s="8" t="s">
        <v>126</v>
      </c>
      <c r="E126" s="7">
        <v>5</v>
      </c>
      <c r="F126" s="8">
        <v>1</v>
      </c>
      <c r="G126" s="8">
        <f>MAX(0,dryinventory[[#This Row],[Target Quantity]]-dryinventory[[#This Row],[Current Quantity]])</f>
        <v>0</v>
      </c>
      <c r="H126" s="8" t="str">
        <f>IF(dryinventory[[#This Row],[Quantity Needed]]&gt;0, "YES","NO")</f>
        <v>NO</v>
      </c>
    </row>
    <row r="127" spans="2:8">
      <c r="B127" s="8" t="s">
        <v>171</v>
      </c>
      <c r="C127" s="8" t="s">
        <v>39</v>
      </c>
      <c r="D127" s="8" t="s">
        <v>126</v>
      </c>
      <c r="E127" s="7">
        <v>1</v>
      </c>
      <c r="F127" s="8">
        <v>1</v>
      </c>
      <c r="G127" s="8">
        <f>MAX(0,dryinventory[[#This Row],[Target Quantity]]-dryinventory[[#This Row],[Current Quantity]])</f>
        <v>0</v>
      </c>
      <c r="H127" s="8" t="str">
        <f>IF(dryinventory[[#This Row],[Quantity Needed]]&gt;0, "YES","NO")</f>
        <v>NO</v>
      </c>
    </row>
    <row r="128" spans="2:8">
      <c r="B128" s="8" t="s">
        <v>68</v>
      </c>
      <c r="C128" s="8" t="s">
        <v>129</v>
      </c>
      <c r="D128" s="8" t="s">
        <v>34</v>
      </c>
      <c r="E128" s="7">
        <v>0</v>
      </c>
      <c r="F128" s="8">
        <v>1</v>
      </c>
      <c r="G128" s="8">
        <f>MAX(0,dryinventory[[#This Row],[Target Quantity]]-dryinventory[[#This Row],[Current Quantity]])</f>
        <v>1</v>
      </c>
      <c r="H128" s="8" t="str">
        <f>IF(dryinventory[[#This Row],[Quantity Needed]]&gt;0, "YES","NO")</f>
        <v>YES</v>
      </c>
    </row>
    <row r="129" spans="2:8">
      <c r="B129" s="8" t="s">
        <v>69</v>
      </c>
      <c r="C129" s="8" t="s">
        <v>129</v>
      </c>
      <c r="D129" s="8" t="s">
        <v>126</v>
      </c>
      <c r="E129" s="7">
        <v>1</v>
      </c>
      <c r="F129" s="8">
        <v>0.5</v>
      </c>
      <c r="G129" s="8">
        <f>MAX(0,dryinventory[[#This Row],[Target Quantity]]-dryinventory[[#This Row],[Current Quantity]])</f>
        <v>0</v>
      </c>
      <c r="H129" s="8" t="str">
        <f>IF(dryinventory[[#This Row],[Quantity Needed]]&gt;0, "YES","NO")</f>
        <v>NO</v>
      </c>
    </row>
    <row r="130" spans="2:8">
      <c r="B130" s="8" t="s">
        <v>70</v>
      </c>
      <c r="C130" s="8" t="s">
        <v>129</v>
      </c>
      <c r="D130" s="8" t="s">
        <v>126</v>
      </c>
      <c r="E130" s="7">
        <v>1</v>
      </c>
      <c r="F130" s="8">
        <v>1</v>
      </c>
      <c r="G130" s="8">
        <f>MAX(0,dryinventory[[#This Row],[Target Quantity]]-dryinventory[[#This Row],[Current Quantity]])</f>
        <v>0</v>
      </c>
      <c r="H130" s="8" t="str">
        <f>IF(dryinventory[[#This Row],[Quantity Needed]]&gt;0, "YES","NO")</f>
        <v>NO</v>
      </c>
    </row>
    <row r="131" spans="2:8">
      <c r="B131" s="8" t="s">
        <v>102</v>
      </c>
      <c r="C131" s="8" t="s">
        <v>129</v>
      </c>
      <c r="D131" s="8" t="s">
        <v>126</v>
      </c>
      <c r="E131" s="7">
        <v>5</v>
      </c>
      <c r="F131" s="8">
        <v>0.5</v>
      </c>
      <c r="G131" s="8">
        <f>MAX(0,dryinventory[[#This Row],[Target Quantity]]-dryinventory[[#This Row],[Current Quantity]])</f>
        <v>0</v>
      </c>
      <c r="H131" s="8" t="str">
        <f>IF(dryinventory[[#This Row],[Quantity Needed]]&gt;0, "YES","NO")</f>
        <v>NO</v>
      </c>
    </row>
    <row r="132" spans="2:8">
      <c r="B132" s="8" t="s">
        <v>103</v>
      </c>
      <c r="C132" s="8" t="s">
        <v>129</v>
      </c>
      <c r="D132" s="8" t="s">
        <v>126</v>
      </c>
      <c r="E132" s="7">
        <v>2</v>
      </c>
      <c r="F132" s="8">
        <v>0.5</v>
      </c>
      <c r="G132" s="8">
        <f>MAX(0,dryinventory[[#This Row],[Target Quantity]]-dryinventory[[#This Row],[Current Quantity]])</f>
        <v>0</v>
      </c>
      <c r="H132" s="8" t="str">
        <f>IF(dryinventory[[#This Row],[Quantity Needed]]&gt;0, "YES","NO")</f>
        <v>NO</v>
      </c>
    </row>
    <row r="133" spans="2:8">
      <c r="B133" s="8" t="s">
        <v>104</v>
      </c>
      <c r="C133" s="8" t="s">
        <v>129</v>
      </c>
      <c r="D133" s="8" t="s">
        <v>126</v>
      </c>
      <c r="E133" s="7">
        <v>0</v>
      </c>
      <c r="F133" s="8">
        <v>0.5</v>
      </c>
      <c r="G133" s="8">
        <f>MAX(0,dryinventory[[#This Row],[Target Quantity]]-dryinventory[[#This Row],[Current Quantity]])</f>
        <v>0.5</v>
      </c>
      <c r="H133" s="8" t="str">
        <f>IF(dryinventory[[#This Row],[Quantity Needed]]&gt;0, "YES","NO")</f>
        <v>YES</v>
      </c>
    </row>
    <row r="134" spans="2:8">
      <c r="B134" s="8" t="s">
        <v>105</v>
      </c>
      <c r="C134" s="8" t="s">
        <v>129</v>
      </c>
      <c r="D134" s="8" t="s">
        <v>126</v>
      </c>
      <c r="E134" s="7">
        <v>1</v>
      </c>
      <c r="F134" s="8">
        <v>0.5</v>
      </c>
      <c r="G134" s="8">
        <f>MAX(0,dryinventory[[#This Row],[Target Quantity]]-dryinventory[[#This Row],[Current Quantity]])</f>
        <v>0</v>
      </c>
      <c r="H134" s="8" t="str">
        <f>IF(dryinventory[[#This Row],[Quantity Needed]]&gt;0, "YES","NO")</f>
        <v>NO</v>
      </c>
    </row>
    <row r="135" spans="2:8">
      <c r="B135" s="8" t="s">
        <v>116</v>
      </c>
      <c r="C135" s="8" t="s">
        <v>129</v>
      </c>
      <c r="D135" s="8" t="s">
        <v>126</v>
      </c>
      <c r="E135" s="7">
        <v>2</v>
      </c>
      <c r="F135" s="8">
        <v>0.5</v>
      </c>
      <c r="G135" s="8">
        <f>MAX(0,dryinventory[[#This Row],[Target Quantity]]-dryinventory[[#This Row],[Current Quantity]])</f>
        <v>0</v>
      </c>
      <c r="H135" s="8" t="str">
        <f>IF(dryinventory[[#This Row],[Quantity Needed]]&gt;0, "YES","NO")</f>
        <v>NO</v>
      </c>
    </row>
    <row r="136" spans="2:8">
      <c r="B136" s="8" t="s">
        <v>121</v>
      </c>
      <c r="C136" s="8" t="s">
        <v>129</v>
      </c>
      <c r="D136" s="8" t="s">
        <v>126</v>
      </c>
      <c r="E136" s="7">
        <v>3</v>
      </c>
      <c r="F136" s="8">
        <v>1</v>
      </c>
      <c r="G136" s="8">
        <f>MAX(0,dryinventory[[#This Row],[Target Quantity]]-dryinventory[[#This Row],[Current Quantity]])</f>
        <v>0</v>
      </c>
      <c r="H136" s="8" t="str">
        <f>IF(dryinventory[[#This Row],[Quantity Needed]]&gt;0, "YES","NO")</f>
        <v>NO</v>
      </c>
    </row>
    <row r="137" spans="2:8">
      <c r="B137" s="8" t="s">
        <v>142</v>
      </c>
      <c r="C137" s="8" t="s">
        <v>129</v>
      </c>
      <c r="D137" s="8" t="s">
        <v>126</v>
      </c>
      <c r="E137" s="7">
        <v>1</v>
      </c>
      <c r="F137" s="8">
        <v>0.5</v>
      </c>
      <c r="G137" s="8">
        <f>MAX(0,dryinventory[[#This Row],[Target Quantity]]-dryinventory[[#This Row],[Current Quantity]])</f>
        <v>0</v>
      </c>
      <c r="H137" s="8" t="str">
        <f>IF(dryinventory[[#This Row],[Quantity Needed]]&gt;0, "YES","NO")</f>
        <v>NO</v>
      </c>
    </row>
    <row r="138" spans="2:8">
      <c r="B138" s="8" t="s">
        <v>143</v>
      </c>
      <c r="C138" s="8" t="s">
        <v>129</v>
      </c>
      <c r="D138" s="8" t="s">
        <v>126</v>
      </c>
      <c r="E138" s="7">
        <v>5</v>
      </c>
      <c r="F138" s="8">
        <v>2</v>
      </c>
      <c r="G138" s="8">
        <f>MAX(0,dryinventory[[#This Row],[Target Quantity]]-dryinventory[[#This Row],[Current Quantity]])</f>
        <v>0</v>
      </c>
      <c r="H138" s="8" t="str">
        <f>IF(dryinventory[[#This Row],[Quantity Needed]]&gt;0, "YES","NO")</f>
        <v>NO</v>
      </c>
    </row>
    <row r="139" spans="2:8">
      <c r="B139" s="8" t="s">
        <v>85</v>
      </c>
      <c r="C139" s="8" t="s">
        <v>128</v>
      </c>
      <c r="D139" s="8" t="s">
        <v>42</v>
      </c>
      <c r="E139" s="7">
        <v>1</v>
      </c>
      <c r="F139" s="8">
        <v>6</v>
      </c>
      <c r="G139" s="8">
        <f>MAX(0,dryinventory[[#This Row],[Target Quantity]]-dryinventory[[#This Row],[Current Quantity]])</f>
        <v>5</v>
      </c>
      <c r="H139" s="8" t="str">
        <f>IF(dryinventory[[#This Row],[Quantity Needed]]&gt;0, "YES","NO")</f>
        <v>YES</v>
      </c>
    </row>
    <row r="140" spans="2:8">
      <c r="B140" s="8" t="s">
        <v>84</v>
      </c>
      <c r="C140" s="8" t="s">
        <v>128</v>
      </c>
      <c r="D140" s="8" t="s">
        <v>42</v>
      </c>
      <c r="E140" s="7">
        <v>5</v>
      </c>
      <c r="F140" s="8">
        <v>3</v>
      </c>
      <c r="G140" s="8">
        <f>MAX(0,dryinventory[[#This Row],[Target Quantity]]-dryinventory[[#This Row],[Current Quantity]])</f>
        <v>0</v>
      </c>
      <c r="H140" s="8" t="str">
        <f>IF(dryinventory[[#This Row],[Quantity Needed]]&gt;0, "YES","NO")</f>
        <v>NO</v>
      </c>
    </row>
    <row r="141" spans="2:8">
      <c r="B141" s="8" t="s">
        <v>83</v>
      </c>
      <c r="C141" s="8" t="s">
        <v>128</v>
      </c>
      <c r="D141" s="8" t="s">
        <v>34</v>
      </c>
      <c r="E141" s="7">
        <v>2</v>
      </c>
      <c r="F141" s="8">
        <v>1</v>
      </c>
      <c r="G141" s="8">
        <f>MAX(0,dryinventory[[#This Row],[Target Quantity]]-dryinventory[[#This Row],[Current Quantity]])</f>
        <v>0</v>
      </c>
      <c r="H141" s="8" t="str">
        <f>IF(dryinventory[[#This Row],[Quantity Needed]]&gt;0, "YES","NO")</f>
        <v>NO</v>
      </c>
    </row>
    <row r="142" spans="2:8">
      <c r="B142" s="8" t="s">
        <v>82</v>
      </c>
      <c r="C142" s="8" t="s">
        <v>128</v>
      </c>
      <c r="D142" s="8" t="s">
        <v>34</v>
      </c>
      <c r="E142" s="7">
        <v>0</v>
      </c>
      <c r="F142" s="8">
        <v>1</v>
      </c>
      <c r="G142" s="8">
        <f>MAX(0,dryinventory[[#This Row],[Target Quantity]]-dryinventory[[#This Row],[Current Quantity]])</f>
        <v>1</v>
      </c>
      <c r="H142" s="8" t="str">
        <f>IF(dryinventory[[#This Row],[Quantity Needed]]&gt;0, "YES","NO")</f>
        <v>YES</v>
      </c>
    </row>
    <row r="143" spans="2:8">
      <c r="B143" s="8" t="s">
        <v>149</v>
      </c>
      <c r="C143" s="8" t="s">
        <v>128</v>
      </c>
      <c r="D143" s="8" t="s">
        <v>172</v>
      </c>
      <c r="E143" s="7">
        <v>1</v>
      </c>
      <c r="F143" s="8">
        <v>3</v>
      </c>
      <c r="G143" s="8">
        <f>MAX(0,dryinventory[[#This Row],[Target Quantity]]-dryinventory[[#This Row],[Current Quantity]])</f>
        <v>2</v>
      </c>
      <c r="H143" s="8" t="str">
        <f>IF(dryinventory[[#This Row],[Quantity Needed]]&gt;0, "YES","NO")</f>
        <v>YES</v>
      </c>
    </row>
    <row r="144" spans="2:8">
      <c r="B144" s="8" t="s">
        <v>77</v>
      </c>
      <c r="C144" s="8" t="s">
        <v>127</v>
      </c>
      <c r="D144" s="8" t="s">
        <v>34</v>
      </c>
      <c r="E144" s="7">
        <v>2</v>
      </c>
      <c r="F144" s="8">
        <v>0.5</v>
      </c>
      <c r="G144" s="8">
        <f>MAX(0,dryinventory[[#This Row],[Target Quantity]]-dryinventory[[#This Row],[Current Quantity]])</f>
        <v>0</v>
      </c>
      <c r="H144" s="8" t="str">
        <f>IF(dryinventory[[#This Row],[Quantity Needed]]&gt;0, "YES","NO")</f>
        <v>NO</v>
      </c>
    </row>
    <row r="145" spans="2:8">
      <c r="B145" s="8" t="s">
        <v>76</v>
      </c>
      <c r="C145" s="8" t="s">
        <v>127</v>
      </c>
      <c r="D145" s="8" t="s">
        <v>34</v>
      </c>
      <c r="E145" s="7">
        <v>3</v>
      </c>
      <c r="F145" s="8">
        <v>0.5</v>
      </c>
      <c r="G145" s="8">
        <f>MAX(0,dryinventory[[#This Row],[Target Quantity]]-dryinventory[[#This Row],[Current Quantity]])</f>
        <v>0</v>
      </c>
      <c r="H145" s="8" t="str">
        <f>IF(dryinventory[[#This Row],[Quantity Needed]]&gt;0, "YES","NO")</f>
        <v>NO</v>
      </c>
    </row>
    <row r="146" spans="2:8">
      <c r="B146" s="8" t="s">
        <v>75</v>
      </c>
      <c r="C146" s="8" t="s">
        <v>127</v>
      </c>
      <c r="D146" s="8" t="s">
        <v>34</v>
      </c>
      <c r="E146" s="7">
        <v>1</v>
      </c>
      <c r="F146" s="8">
        <v>0.5</v>
      </c>
      <c r="G146" s="8">
        <f>MAX(0,dryinventory[[#This Row],[Target Quantity]]-dryinventory[[#This Row],[Current Quantity]])</f>
        <v>0</v>
      </c>
      <c r="H146" s="8" t="str">
        <f>IF(dryinventory[[#This Row],[Quantity Needed]]&gt;0, "YES","NO")</f>
        <v>NO</v>
      </c>
    </row>
    <row r="147" spans="2:8">
      <c r="B147" s="8" t="s">
        <v>96</v>
      </c>
      <c r="C147" s="8" t="s">
        <v>127</v>
      </c>
      <c r="D147" s="8" t="s">
        <v>42</v>
      </c>
      <c r="E147" s="7">
        <v>5</v>
      </c>
      <c r="F147" s="8">
        <v>3</v>
      </c>
      <c r="G147" s="8">
        <f>MAX(0,dryinventory[[#This Row],[Target Quantity]]-dryinventory[[#This Row],[Current Quantity]])</f>
        <v>0</v>
      </c>
      <c r="H147" s="8" t="str">
        <f>IF(dryinventory[[#This Row],[Quantity Needed]]&gt;0, "YES","NO")</f>
        <v>NO</v>
      </c>
    </row>
    <row r="148" spans="2:8">
      <c r="B148" s="8" t="s">
        <v>113</v>
      </c>
      <c r="C148" s="8" t="s">
        <v>127</v>
      </c>
      <c r="D148" s="8" t="s">
        <v>42</v>
      </c>
      <c r="E148" s="7">
        <v>1</v>
      </c>
      <c r="F148" s="8">
        <v>5</v>
      </c>
      <c r="G148" s="8">
        <f>MAX(0,dryinventory[[#This Row],[Target Quantity]]-dryinventory[[#This Row],[Current Quantity]])</f>
        <v>4</v>
      </c>
      <c r="H148" s="8" t="str">
        <f>IF(dryinventory[[#This Row],[Quantity Needed]]&gt;0, "YES","NO")</f>
        <v>YES</v>
      </c>
    </row>
    <row r="149" spans="2:8">
      <c r="B149" s="8" t="s">
        <v>114</v>
      </c>
      <c r="C149" s="8" t="s">
        <v>127</v>
      </c>
      <c r="D149" s="8" t="s">
        <v>34</v>
      </c>
      <c r="E149" s="7">
        <v>0</v>
      </c>
      <c r="F149" s="8">
        <v>2</v>
      </c>
      <c r="G149" s="8">
        <f>MAX(0,dryinventory[[#This Row],[Target Quantity]]-dryinventory[[#This Row],[Current Quantity]])</f>
        <v>2</v>
      </c>
      <c r="H149" s="8" t="str">
        <f>IF(dryinventory[[#This Row],[Quantity Needed]]&gt;0, "YES","NO")</f>
        <v>YES</v>
      </c>
    </row>
    <row r="150" spans="2:8">
      <c r="B150" s="8" t="s">
        <v>115</v>
      </c>
      <c r="C150" s="8" t="s">
        <v>127</v>
      </c>
      <c r="D150" s="8" t="s">
        <v>34</v>
      </c>
      <c r="E150" s="7">
        <v>1</v>
      </c>
      <c r="F150" s="8">
        <v>2</v>
      </c>
      <c r="G150" s="8">
        <f>MAX(0,dryinventory[[#This Row],[Target Quantity]]-dryinventory[[#This Row],[Current Quantity]])</f>
        <v>1</v>
      </c>
      <c r="H150" s="8" t="str">
        <f>IF(dryinventory[[#This Row],[Quantity Needed]]&gt;0, "YES","NO")</f>
        <v>YES</v>
      </c>
    </row>
    <row r="151" spans="2:8">
      <c r="B151" s="8" t="s">
        <v>138</v>
      </c>
      <c r="C151" s="8" t="s">
        <v>127</v>
      </c>
      <c r="D151" s="8" t="s">
        <v>42</v>
      </c>
      <c r="E151" s="7">
        <v>1</v>
      </c>
      <c r="F151" s="8">
        <v>15</v>
      </c>
      <c r="G151" s="8">
        <f>MAX(0,dryinventory[[#This Row],[Target Quantity]]-dryinventory[[#This Row],[Current Quantity]])</f>
        <v>14</v>
      </c>
      <c r="H151" s="8" t="str">
        <f>IF(dryinventory[[#This Row],[Quantity Needed]]&gt;0, "YES","NO")</f>
        <v>YES</v>
      </c>
    </row>
    <row r="152" spans="2:8">
      <c r="B152" s="8" t="s">
        <v>153</v>
      </c>
      <c r="C152" s="8" t="s">
        <v>127</v>
      </c>
      <c r="D152" s="8" t="s">
        <v>42</v>
      </c>
      <c r="E152" s="7">
        <v>0</v>
      </c>
      <c r="F152" s="8">
        <v>3</v>
      </c>
      <c r="G152" s="8">
        <f>MAX(0,dryinventory[[#This Row],[Target Quantity]]-dryinventory[[#This Row],[Current Quantity]])</f>
        <v>3</v>
      </c>
      <c r="H152" s="8" t="str">
        <f>IF(dryinventory[[#This Row],[Quantity Needed]]&gt;0, "YES","NO")</f>
        <v>YES</v>
      </c>
    </row>
    <row r="153" spans="2:8">
      <c r="B153" s="8" t="s">
        <v>170</v>
      </c>
      <c r="C153" s="8" t="s">
        <v>127</v>
      </c>
      <c r="D153" s="8" t="s">
        <v>34</v>
      </c>
      <c r="E153" s="7">
        <v>3</v>
      </c>
      <c r="F153" s="8">
        <v>0.5</v>
      </c>
      <c r="G153" s="8">
        <f>MAX(0,dryinventory[[#This Row],[Target Quantity]]-dryinventory[[#This Row],[Current Quantity]])</f>
        <v>0</v>
      </c>
      <c r="H153" s="8" t="str">
        <f>IF(dryinventory[[#This Row],[Quantity Needed]]&gt;0, "YES","NO")</f>
        <v>NO</v>
      </c>
    </row>
    <row r="154" spans="2:8">
      <c r="B154" s="8" t="s">
        <v>162</v>
      </c>
      <c r="C154" s="8" t="s">
        <v>127</v>
      </c>
      <c r="D154" s="8" t="s">
        <v>42</v>
      </c>
      <c r="E154" s="7">
        <v>4</v>
      </c>
      <c r="F154" s="8">
        <v>3</v>
      </c>
      <c r="G154" s="8">
        <f>MAX(0,dryinventory[[#This Row],[Target Quantity]]-dryinventory[[#This Row],[Current Quantity]])</f>
        <v>0</v>
      </c>
      <c r="H154" s="8" t="str">
        <f>IF(dryinventory[[#This Row],[Quantity Needed]]&gt;0, "YES","NO")</f>
        <v>NO</v>
      </c>
    </row>
    <row r="155" spans="2:8">
      <c r="B155" s="8" t="s">
        <v>163</v>
      </c>
      <c r="C155" s="8" t="s">
        <v>127</v>
      </c>
      <c r="D155" s="8" t="s">
        <v>42</v>
      </c>
      <c r="E155" s="7">
        <v>2</v>
      </c>
      <c r="F155" s="8">
        <v>3</v>
      </c>
      <c r="G155" s="8">
        <f>MAX(0,dryinventory[[#This Row],[Target Quantity]]-dryinventory[[#This Row],[Current Quantity]])</f>
        <v>1</v>
      </c>
      <c r="H155" s="8" t="str">
        <f>IF(dryinventory[[#This Row],[Quantity Needed]]&gt;0, "YES","NO")</f>
        <v>YES</v>
      </c>
    </row>
    <row r="156" spans="2:8">
      <c r="B156" s="8" t="s">
        <v>187</v>
      </c>
      <c r="C156" s="8" t="s">
        <v>127</v>
      </c>
      <c r="D156" s="8" t="s">
        <v>42</v>
      </c>
      <c r="E156" s="7">
        <v>1</v>
      </c>
      <c r="F156" s="8">
        <v>3</v>
      </c>
      <c r="G156" s="8">
        <f>MAX(0,dryinventory[[#This Row],[Target Quantity]]-dryinventory[[#This Row],[Current Quantity]])</f>
        <v>2</v>
      </c>
      <c r="H156" s="8" t="str">
        <f>IF(dryinventory[[#This Row],[Quantity Needed]]&gt;0, "YES","NO")</f>
        <v>YES</v>
      </c>
    </row>
    <row r="157" spans="2:8">
      <c r="B157" s="8"/>
      <c r="C157" s="8"/>
      <c r="D157" s="8"/>
      <c r="E157" s="7"/>
      <c r="F157" s="8"/>
      <c r="G157" s="8"/>
      <c r="H157" s="8"/>
    </row>
    <row r="158" spans="2:8">
      <c r="B158" s="8"/>
      <c r="C158" s="8"/>
      <c r="D158" s="8"/>
      <c r="E158" s="7"/>
      <c r="F158" s="8"/>
      <c r="G158" s="8"/>
      <c r="H158" s="8"/>
    </row>
    <row r="159" spans="2:8"/>
    <row r="160" spans="2:8"/>
    <row r="161"/>
    <row r="162"/>
  </sheetData>
  <mergeCells count="6">
    <mergeCell ref="B75:H75"/>
    <mergeCell ref="B28:H28"/>
    <mergeCell ref="E3:F5"/>
    <mergeCell ref="B8:H8"/>
    <mergeCell ref="B1:C3"/>
    <mergeCell ref="G3:H5"/>
  </mergeCells>
  <phoneticPr fontId="17" type="noConversion"/>
  <conditionalFormatting sqref="H1:H2 H6:H27 H29:H68 H76:H1048576">
    <cfRule type="cellIs" dxfId="27" priority="5" operator="equal">
      <formula>"NO"</formula>
    </cfRule>
    <cfRule type="cellIs" dxfId="26" priority="6" operator="equal">
      <formula>"YES"</formula>
    </cfRule>
  </conditionalFormatting>
  <conditionalFormatting sqref="H1:H2 H6:H1048576">
    <cfRule type="containsText" dxfId="25" priority="4" operator="containsText" text="NO">
      <formula>NOT(ISERROR(SEARCH("NO",H1)))</formula>
    </cfRule>
  </conditionalFormatting>
  <conditionalFormatting sqref="H6:H1048576 H1:H2">
    <cfRule type="containsText" dxfId="24" priority="3" operator="containsText" text="YES">
      <formula>NOT(ISERROR(SEARCH("YES",H1)))</formula>
    </cfRule>
  </conditionalFormatting>
  <conditionalFormatting sqref="H63:H64">
    <cfRule type="cellIs" dxfId="23" priority="1" operator="equal">
      <formula>"NO"</formula>
    </cfRule>
    <cfRule type="cellIs" dxfId="22" priority="2" operator="equal">
      <formula>"YES"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1B6E-CE16-C945-8038-DAEF80A32647}">
  <sheetPr codeName="Sheet1">
    <tabColor theme="6" tint="-0.499984740745262"/>
  </sheetPr>
  <dimension ref="A1:R79"/>
  <sheetViews>
    <sheetView showGridLines="0" showRowColHeaders="0" zoomScale="130" zoomScaleNormal="130" workbookViewId="0">
      <selection activeCell="C11" sqref="C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0" defaultRowHeight="16" zeroHeight="1"/>
  <cols>
    <col min="1" max="1" width="4.1640625" customWidth="1"/>
    <col min="2" max="2" width="41.1640625" customWidth="1"/>
    <col min="3" max="3" width="39.33203125" customWidth="1"/>
    <col min="4" max="4" width="17.83203125" customWidth="1"/>
    <col min="5" max="6" width="25.33203125" customWidth="1"/>
    <col min="7" max="7" width="16.1640625" customWidth="1"/>
    <col min="8" max="8" width="15.83203125" customWidth="1"/>
    <col min="9" max="18" width="15.83203125" hidden="1" customWidth="1"/>
    <col min="19" max="16384" width="10.83203125" hidden="1"/>
  </cols>
  <sheetData>
    <row r="1" spans="1:18" ht="18" customHeight="1">
      <c r="A1" s="2"/>
      <c r="B1" s="125" t="s">
        <v>6</v>
      </c>
      <c r="C1" s="125"/>
      <c r="F1" s="3"/>
    </row>
    <row r="2" spans="1:18" ht="18" customHeight="1">
      <c r="A2" s="2"/>
      <c r="B2" s="125"/>
      <c r="C2" s="125"/>
      <c r="F2" s="11"/>
    </row>
    <row r="3" spans="1:18" ht="18" customHeight="1">
      <c r="A3" s="2"/>
      <c r="B3" s="125"/>
      <c r="C3" s="125"/>
      <c r="F3" s="11"/>
    </row>
    <row r="4" spans="1:18" ht="18" customHeight="1">
      <c r="A4" s="2"/>
      <c r="B4" s="4"/>
      <c r="C4" s="4"/>
      <c r="F4" s="3"/>
    </row>
    <row r="5" spans="1:18" ht="23" customHeight="1">
      <c r="A5" s="2"/>
      <c r="B5" s="17" t="s">
        <v>218</v>
      </c>
      <c r="C5" s="9"/>
      <c r="F5" s="3"/>
    </row>
    <row r="6" spans="1:18" ht="18" customHeight="1">
      <c r="A6" s="2"/>
      <c r="B6" s="16"/>
      <c r="C6" s="1"/>
    </row>
    <row r="7" spans="1:18" ht="18" customHeight="1">
      <c r="A7" s="2"/>
      <c r="B7" s="52" t="s">
        <v>216</v>
      </c>
      <c r="C7" s="1"/>
      <c r="E7" s="10"/>
      <c r="F7" s="10"/>
    </row>
    <row r="8" spans="1:18" ht="20" customHeight="1">
      <c r="B8" s="130" t="s">
        <v>199</v>
      </c>
      <c r="C8" s="131">
        <f>Introduction!B16</f>
        <v>46126</v>
      </c>
      <c r="D8" s="15"/>
      <c r="G8" s="15"/>
    </row>
    <row r="9" spans="1:18" ht="20" customHeight="1">
      <c r="B9" s="130"/>
      <c r="C9" s="131"/>
      <c r="D9" s="12"/>
      <c r="G9" s="12"/>
      <c r="N9" s="5"/>
      <c r="O9" s="5"/>
      <c r="P9" s="5"/>
      <c r="Q9" s="5"/>
      <c r="R9" s="5"/>
    </row>
    <row r="10" spans="1:18" ht="18" customHeight="1">
      <c r="B10" s="130"/>
      <c r="C10" s="131"/>
      <c r="D10" s="14"/>
      <c r="G10" s="14"/>
    </row>
    <row r="11" spans="1:18" ht="18" customHeight="1">
      <c r="B11" s="20"/>
      <c r="C11" s="20"/>
      <c r="D11" s="14"/>
      <c r="G11" s="14"/>
    </row>
    <row r="12" spans="1:18" ht="18" customHeight="1">
      <c r="B12" s="20"/>
      <c r="C12" s="20"/>
      <c r="D12" s="14"/>
      <c r="G12" s="14"/>
    </row>
    <row r="13" spans="1:18" ht="18" customHeight="1">
      <c r="B13" s="132" t="s">
        <v>16</v>
      </c>
      <c r="C13" s="133" t="s">
        <v>125</v>
      </c>
      <c r="D13" s="14"/>
      <c r="G13" s="14"/>
    </row>
    <row r="14" spans="1:18" ht="18" customHeight="1">
      <c r="B14" s="132"/>
      <c r="C14" s="134"/>
      <c r="D14" s="14"/>
      <c r="G14" s="14"/>
    </row>
    <row r="15" spans="1:18" ht="18" customHeight="1">
      <c r="B15" s="132"/>
      <c r="C15" s="135"/>
      <c r="D15" s="14"/>
      <c r="G15" s="14"/>
    </row>
    <row r="16" spans="1:18" ht="18" customHeight="1">
      <c r="B16" s="13"/>
      <c r="C16" s="14"/>
      <c r="D16" s="14"/>
      <c r="G16" s="14"/>
    </row>
    <row r="17" spans="2:7" ht="18" customHeight="1">
      <c r="D17" s="14"/>
      <c r="G17" s="14"/>
    </row>
    <row r="18" spans="2:7" ht="18" customHeight="1">
      <c r="B18" s="126" t="s">
        <v>15</v>
      </c>
      <c r="C18" s="127"/>
      <c r="D18" s="14"/>
      <c r="E18" s="14"/>
      <c r="F18" s="14"/>
      <c r="G18" s="14"/>
    </row>
    <row r="19" spans="2:7" ht="18" customHeight="1">
      <c r="B19" s="128"/>
      <c r="C19" s="129"/>
      <c r="D19" s="14"/>
      <c r="E19" s="14"/>
      <c r="F19" s="14"/>
      <c r="G19" s="14"/>
    </row>
    <row r="20" spans="2:7" ht="26" customHeight="1">
      <c r="B20" s="63" t="s">
        <v>9</v>
      </c>
      <c r="C20" s="63" t="s">
        <v>5</v>
      </c>
      <c r="D20" s="14"/>
      <c r="E20" s="14"/>
      <c r="F20" s="14"/>
      <c r="G20" s="14"/>
    </row>
    <row r="21" spans="2:7" ht="22" customHeight="1">
      <c r="B21" s="59" t="s">
        <v>125</v>
      </c>
      <c r="C21" s="60">
        <v>1</v>
      </c>
      <c r="D21" s="14"/>
      <c r="E21" s="14"/>
      <c r="F21" s="14"/>
      <c r="G21" s="14"/>
    </row>
    <row r="22" spans="2:7" ht="22" customHeight="1">
      <c r="B22" s="59" t="s">
        <v>7</v>
      </c>
      <c r="C22" s="60">
        <v>1.5</v>
      </c>
      <c r="D22" s="14"/>
      <c r="E22" s="14"/>
      <c r="F22" s="14"/>
      <c r="G22" s="14"/>
    </row>
    <row r="23" spans="2:7" ht="22" customHeight="1">
      <c r="B23" s="61" t="s">
        <v>8</v>
      </c>
      <c r="C23" s="62">
        <v>2</v>
      </c>
      <c r="D23" s="14"/>
      <c r="E23" s="14"/>
      <c r="F23" s="14"/>
      <c r="G23" s="14"/>
    </row>
    <row r="24" spans="2:7" ht="18" customHeight="1">
      <c r="B24" s="21"/>
      <c r="C24" s="22"/>
      <c r="D24" s="14"/>
      <c r="E24" s="14"/>
      <c r="F24" s="14"/>
      <c r="G24" s="14"/>
    </row>
    <row r="25" spans="2:7" ht="18" customHeight="1">
      <c r="B25" s="13"/>
      <c r="C25" s="14"/>
      <c r="D25" s="14"/>
      <c r="E25" s="14"/>
      <c r="F25" s="14"/>
      <c r="G25" s="14"/>
    </row>
    <row r="26" spans="2:7" ht="18" customHeight="1">
      <c r="B26" s="13"/>
      <c r="C26" s="14"/>
      <c r="D26" s="14"/>
      <c r="E26" s="14"/>
      <c r="F26" s="14"/>
      <c r="G26" s="14"/>
    </row>
    <row r="27" spans="2:7" ht="18" customHeight="1">
      <c r="B27" s="13"/>
      <c r="C27" s="14"/>
      <c r="D27" s="14"/>
      <c r="E27" s="14"/>
      <c r="F27" s="14"/>
      <c r="G27" s="14"/>
    </row>
    <row r="28" spans="2:7" ht="18" customHeight="1">
      <c r="B28" s="13"/>
      <c r="C28" s="14"/>
      <c r="D28" s="14"/>
      <c r="E28" s="14"/>
      <c r="F28" s="14"/>
      <c r="G28" s="14"/>
    </row>
    <row r="29" spans="2:7" ht="18" customHeight="1">
      <c r="B29" s="13"/>
      <c r="C29" s="14"/>
      <c r="D29" s="14"/>
      <c r="E29" s="14"/>
      <c r="F29" s="14"/>
      <c r="G29" s="14"/>
    </row>
    <row r="30" spans="2:7" ht="18" customHeight="1">
      <c r="B30" s="13"/>
      <c r="C30" s="14"/>
      <c r="D30" s="14"/>
      <c r="E30" s="14"/>
      <c r="F30" s="14"/>
      <c r="G30" s="14"/>
    </row>
    <row r="31" spans="2:7" ht="18" hidden="1" customHeight="1">
      <c r="B31" s="13"/>
      <c r="C31" s="13"/>
      <c r="D31" s="13"/>
      <c r="E31" s="13"/>
      <c r="F31" s="13"/>
      <c r="G31" s="13"/>
    </row>
    <row r="32" spans="2:7" ht="26" hidden="1" customHeight="1">
      <c r="B32" s="124"/>
      <c r="C32" s="124"/>
      <c r="D32" s="124"/>
      <c r="E32" s="124"/>
      <c r="F32" s="124"/>
      <c r="G32" s="124"/>
    </row>
    <row r="33" spans="2:7" ht="18" hidden="1" customHeight="1">
      <c r="B33" s="12"/>
      <c r="C33" s="12"/>
      <c r="D33" s="12"/>
      <c r="E33" s="12"/>
      <c r="F33" s="12"/>
      <c r="G33" s="12"/>
    </row>
    <row r="34" spans="2:7" ht="18" hidden="1" customHeight="1">
      <c r="B34" s="13"/>
      <c r="C34" s="14"/>
      <c r="D34" s="14"/>
      <c r="E34" s="14"/>
      <c r="F34" s="14"/>
      <c r="G34" s="14"/>
    </row>
    <row r="35" spans="2:7" ht="18" hidden="1" customHeight="1">
      <c r="B35" s="13"/>
      <c r="C35" s="14"/>
      <c r="D35" s="14"/>
      <c r="E35" s="14"/>
      <c r="F35" s="14"/>
      <c r="G35" s="14"/>
    </row>
    <row r="36" spans="2:7" ht="18" hidden="1" customHeight="1">
      <c r="B36" s="13"/>
      <c r="C36" s="14"/>
      <c r="D36" s="14"/>
      <c r="E36" s="14"/>
      <c r="F36" s="14"/>
      <c r="G36" s="14"/>
    </row>
    <row r="37" spans="2:7" ht="18" hidden="1" customHeight="1">
      <c r="B37" s="13"/>
      <c r="C37" s="14"/>
      <c r="D37" s="14"/>
      <c r="E37" s="14"/>
      <c r="F37" s="14"/>
      <c r="G37" s="14"/>
    </row>
    <row r="38" spans="2:7" ht="18" hidden="1" customHeight="1">
      <c r="B38" s="13"/>
      <c r="C38" s="14"/>
      <c r="D38" s="14"/>
      <c r="E38" s="14"/>
      <c r="F38" s="14"/>
      <c r="G38" s="14"/>
    </row>
    <row r="39" spans="2:7" ht="18" hidden="1" customHeight="1">
      <c r="B39" s="13"/>
      <c r="C39" s="14"/>
      <c r="D39" s="14"/>
      <c r="E39" s="14"/>
      <c r="F39" s="14"/>
      <c r="G39" s="14"/>
    </row>
    <row r="40" spans="2:7" ht="18" hidden="1" customHeight="1">
      <c r="B40" s="13"/>
      <c r="C40" s="14"/>
      <c r="D40" s="14"/>
      <c r="E40" s="14"/>
      <c r="F40" s="14"/>
      <c r="G40" s="14"/>
    </row>
    <row r="41" spans="2:7" ht="18" hidden="1" customHeight="1">
      <c r="B41" s="13"/>
      <c r="C41" s="14"/>
      <c r="D41" s="14"/>
      <c r="E41" s="14"/>
      <c r="F41" s="14"/>
      <c r="G41" s="14"/>
    </row>
    <row r="42" spans="2:7" ht="18" hidden="1" customHeight="1">
      <c r="B42" s="13"/>
      <c r="C42" s="14"/>
      <c r="D42" s="14"/>
      <c r="E42" s="14"/>
      <c r="F42" s="14"/>
      <c r="G42" s="14"/>
    </row>
    <row r="43" spans="2:7" ht="18" hidden="1" customHeight="1">
      <c r="B43" s="13"/>
      <c r="C43" s="14"/>
      <c r="D43" s="14"/>
      <c r="E43" s="14"/>
      <c r="F43" s="14"/>
      <c r="G43" s="14"/>
    </row>
    <row r="44" spans="2:7" ht="18" hidden="1" customHeight="1">
      <c r="B44" s="13"/>
      <c r="C44" s="14"/>
      <c r="D44" s="14"/>
      <c r="E44" s="14"/>
      <c r="F44" s="14"/>
      <c r="G44" s="14"/>
    </row>
    <row r="45" spans="2:7" ht="18" hidden="1" customHeight="1">
      <c r="B45" s="13"/>
      <c r="C45" s="14"/>
      <c r="D45" s="14"/>
      <c r="E45" s="14"/>
      <c r="F45" s="14"/>
      <c r="G45" s="14"/>
    </row>
    <row r="46" spans="2:7" ht="18" hidden="1" customHeight="1">
      <c r="B46" s="13"/>
      <c r="C46" s="14"/>
      <c r="D46" s="14"/>
      <c r="E46" s="14"/>
      <c r="F46" s="14"/>
      <c r="G46" s="14"/>
    </row>
    <row r="47" spans="2:7" ht="18" hidden="1" customHeight="1">
      <c r="B47" s="13"/>
      <c r="C47" s="14"/>
      <c r="D47" s="14"/>
      <c r="E47" s="14"/>
      <c r="F47" s="14"/>
      <c r="G47" s="14"/>
    </row>
    <row r="48" spans="2:7" ht="18" hidden="1" customHeight="1">
      <c r="B48" s="13"/>
      <c r="C48" s="14"/>
      <c r="D48" s="14"/>
      <c r="E48" s="14"/>
      <c r="F48" s="14"/>
      <c r="G48" s="14"/>
    </row>
    <row r="49" spans="2:7" ht="18" hidden="1" customHeight="1">
      <c r="B49" s="13"/>
      <c r="C49" s="14"/>
      <c r="D49" s="14"/>
      <c r="E49" s="14"/>
      <c r="F49" s="14"/>
      <c r="G49" s="14"/>
    </row>
    <row r="50" spans="2:7" ht="18" hidden="1" customHeight="1">
      <c r="B50" s="13"/>
      <c r="C50" s="14"/>
      <c r="D50" s="14"/>
      <c r="E50" s="14"/>
      <c r="F50" s="14"/>
      <c r="G50" s="14"/>
    </row>
    <row r="51" spans="2:7" ht="18" hidden="1" customHeight="1">
      <c r="B51" s="13"/>
      <c r="C51" s="14"/>
      <c r="D51" s="14"/>
      <c r="E51" s="14"/>
      <c r="F51" s="14"/>
      <c r="G51" s="14"/>
    </row>
    <row r="52" spans="2:7" ht="18" hidden="1" customHeight="1">
      <c r="B52" s="13"/>
      <c r="C52" s="14"/>
      <c r="D52" s="14"/>
      <c r="E52" s="14"/>
      <c r="F52" s="14"/>
      <c r="G52" s="14"/>
    </row>
    <row r="53" spans="2:7" ht="18" hidden="1" customHeight="1">
      <c r="B53" s="13"/>
      <c r="C53" s="14"/>
      <c r="D53" s="14"/>
      <c r="E53" s="14"/>
      <c r="F53" s="14"/>
      <c r="G53" s="14"/>
    </row>
    <row r="54" spans="2:7" ht="18" hidden="1" customHeight="1">
      <c r="B54" s="13"/>
      <c r="C54" s="14"/>
      <c r="D54" s="14"/>
      <c r="E54" s="14"/>
      <c r="F54" s="14"/>
      <c r="G54" s="14"/>
    </row>
    <row r="55" spans="2:7" ht="18" hidden="1" customHeight="1">
      <c r="B55" s="13"/>
      <c r="C55" s="13"/>
      <c r="D55" s="13"/>
      <c r="E55" s="13"/>
      <c r="F55" s="13"/>
      <c r="G55" s="13"/>
    </row>
    <row r="56" spans="2:7" ht="26" hidden="1" customHeight="1">
      <c r="B56" s="124"/>
      <c r="C56" s="124"/>
      <c r="D56" s="124"/>
      <c r="E56" s="124"/>
      <c r="F56" s="124"/>
      <c r="G56" s="124"/>
    </row>
    <row r="57" spans="2:7" ht="18" hidden="1" customHeight="1">
      <c r="B57" s="12"/>
      <c r="C57" s="12"/>
      <c r="D57" s="12"/>
      <c r="E57" s="12"/>
      <c r="F57" s="12"/>
      <c r="G57" s="12"/>
    </row>
    <row r="58" spans="2:7" ht="18" hidden="1" customHeight="1">
      <c r="B58" s="13"/>
      <c r="C58" s="14"/>
      <c r="D58" s="14"/>
      <c r="E58" s="14"/>
      <c r="F58" s="14"/>
      <c r="G58" s="14"/>
    </row>
    <row r="59" spans="2:7" ht="18" hidden="1" customHeight="1">
      <c r="B59" s="13"/>
      <c r="C59" s="14"/>
      <c r="D59" s="14"/>
      <c r="E59" s="14"/>
      <c r="F59" s="14"/>
      <c r="G59" s="14"/>
    </row>
    <row r="60" spans="2:7" ht="18" hidden="1" customHeight="1">
      <c r="B60" s="13"/>
      <c r="C60" s="14"/>
      <c r="D60" s="14"/>
      <c r="E60" s="14"/>
      <c r="F60" s="14"/>
      <c r="G60" s="14"/>
    </row>
    <row r="61" spans="2:7" ht="18" hidden="1" customHeight="1">
      <c r="B61" s="13"/>
      <c r="C61" s="14"/>
      <c r="D61" s="14"/>
      <c r="E61" s="14"/>
      <c r="F61" s="14"/>
      <c r="G61" s="14"/>
    </row>
    <row r="62" spans="2:7" ht="18" hidden="1" customHeight="1">
      <c r="B62" s="13"/>
      <c r="C62" s="14"/>
      <c r="D62" s="14"/>
      <c r="E62" s="14"/>
      <c r="F62" s="14"/>
      <c r="G62" s="14"/>
    </row>
    <row r="63" spans="2:7" ht="18" hidden="1" customHeight="1">
      <c r="B63" s="13"/>
      <c r="C63" s="14"/>
      <c r="D63" s="14"/>
      <c r="E63" s="14"/>
      <c r="F63" s="14"/>
      <c r="G63" s="14"/>
    </row>
    <row r="64" spans="2:7" ht="18" hidden="1" customHeight="1">
      <c r="B64" s="13"/>
      <c r="C64" s="14"/>
      <c r="D64" s="14"/>
      <c r="E64" s="14"/>
      <c r="F64" s="14"/>
      <c r="G64" s="14"/>
    </row>
    <row r="65" spans="2:7" ht="18" hidden="1" customHeight="1">
      <c r="B65" s="13"/>
      <c r="C65" s="14"/>
      <c r="D65" s="14"/>
      <c r="E65" s="14"/>
      <c r="F65" s="14"/>
      <c r="G65" s="14"/>
    </row>
    <row r="66" spans="2:7" ht="18" hidden="1" customHeight="1">
      <c r="B66" s="13"/>
      <c r="C66" s="14"/>
      <c r="D66" s="14"/>
      <c r="E66" s="14"/>
      <c r="F66" s="14"/>
      <c r="G66" s="14"/>
    </row>
    <row r="67" spans="2:7" ht="18" hidden="1" customHeight="1">
      <c r="B67" s="13"/>
      <c r="C67" s="14"/>
      <c r="D67" s="14"/>
      <c r="E67" s="14"/>
      <c r="F67" s="14"/>
      <c r="G67" s="14"/>
    </row>
    <row r="68" spans="2:7" ht="18" hidden="1" customHeight="1">
      <c r="B68" s="13"/>
      <c r="C68" s="14"/>
      <c r="D68" s="14"/>
      <c r="E68" s="14"/>
      <c r="F68" s="14"/>
      <c r="G68" s="14"/>
    </row>
    <row r="69" spans="2:7" ht="18" hidden="1" customHeight="1">
      <c r="B69" s="13"/>
      <c r="C69" s="14"/>
      <c r="D69" s="14"/>
      <c r="E69" s="14"/>
      <c r="F69" s="14"/>
      <c r="G69" s="14"/>
    </row>
    <row r="70" spans="2:7" ht="18" hidden="1" customHeight="1">
      <c r="B70" s="13"/>
      <c r="C70" s="14"/>
      <c r="D70" s="14"/>
      <c r="E70" s="14"/>
      <c r="F70" s="14"/>
      <c r="G70" s="14"/>
    </row>
    <row r="71" spans="2:7" ht="18" hidden="1" customHeight="1">
      <c r="B71" s="13"/>
      <c r="C71" s="14"/>
      <c r="D71" s="14"/>
      <c r="E71" s="14"/>
      <c r="F71" s="14"/>
      <c r="G71" s="14"/>
    </row>
    <row r="72" spans="2:7" ht="18" hidden="1" customHeight="1">
      <c r="B72" s="13"/>
      <c r="C72" s="14"/>
      <c r="D72" s="14"/>
      <c r="E72" s="14"/>
      <c r="F72" s="14"/>
      <c r="G72" s="14"/>
    </row>
    <row r="73" spans="2:7" ht="18" hidden="1" customHeight="1">
      <c r="B73" s="13"/>
      <c r="C73" s="14"/>
      <c r="D73" s="14"/>
      <c r="E73" s="14"/>
      <c r="F73" s="14"/>
      <c r="G73" s="14"/>
    </row>
    <row r="74" spans="2:7" ht="18" hidden="1" customHeight="1">
      <c r="B74" s="13"/>
      <c r="C74" s="14"/>
      <c r="D74" s="14"/>
      <c r="E74" s="14"/>
      <c r="F74" s="14"/>
      <c r="G74" s="14"/>
    </row>
    <row r="75" spans="2:7" ht="18" hidden="1" customHeight="1">
      <c r="B75" s="13"/>
      <c r="C75" s="14"/>
      <c r="D75" s="14"/>
      <c r="E75" s="14"/>
      <c r="F75" s="14"/>
      <c r="G75" s="14"/>
    </row>
    <row r="76" spans="2:7" ht="18" hidden="1" customHeight="1">
      <c r="B76" s="13"/>
      <c r="C76" s="14"/>
      <c r="D76" s="14"/>
      <c r="E76" s="14"/>
      <c r="F76" s="14"/>
      <c r="G76" s="14"/>
    </row>
    <row r="77" spans="2:7" ht="18" hidden="1" customHeight="1">
      <c r="B77" s="13"/>
      <c r="C77" s="14"/>
      <c r="D77" s="14"/>
      <c r="E77" s="14"/>
      <c r="F77" s="14"/>
      <c r="G77" s="14"/>
    </row>
    <row r="78" spans="2:7" ht="18" hidden="1" customHeight="1">
      <c r="B78" s="13"/>
      <c r="C78" s="14"/>
      <c r="D78" s="14"/>
      <c r="E78" s="14"/>
      <c r="F78" s="14"/>
      <c r="G78" s="14"/>
    </row>
    <row r="79" spans="2:7" ht="18" hidden="1" customHeight="1"/>
  </sheetData>
  <mergeCells count="8">
    <mergeCell ref="B32:G32"/>
    <mergeCell ref="B56:G56"/>
    <mergeCell ref="B1:C3"/>
    <mergeCell ref="B18:C19"/>
    <mergeCell ref="B8:B10"/>
    <mergeCell ref="C8:C10"/>
    <mergeCell ref="B13:B15"/>
    <mergeCell ref="C13:C15"/>
  </mergeCells>
  <conditionalFormatting sqref="G10:G30">
    <cfRule type="containsText" dxfId="21" priority="5" operator="containsText" text="NO">
      <formula>NOT(ISERROR(SEARCH("NO",G10)))</formula>
    </cfRule>
    <cfRule type="containsText" dxfId="20" priority="6" operator="containsText" text="YES">
      <formula>NOT(ISERROR(SEARCH("YES",G10)))</formula>
    </cfRule>
  </conditionalFormatting>
  <conditionalFormatting sqref="G34:G54">
    <cfRule type="containsText" dxfId="19" priority="3" operator="containsText" text="NO">
      <formula>NOT(ISERROR(SEARCH("NO",G34)))</formula>
    </cfRule>
    <cfRule type="containsText" dxfId="18" priority="4" operator="containsText" text="YES">
      <formula>NOT(ISERROR(SEARCH("YES",G34)))</formula>
    </cfRule>
  </conditionalFormatting>
  <conditionalFormatting sqref="G58:G78">
    <cfRule type="containsText" dxfId="17" priority="1" operator="containsText" text="NO">
      <formula>NOT(ISERROR(SEARCH("NO",G58)))</formula>
    </cfRule>
    <cfRule type="containsText" dxfId="16" priority="2" operator="containsText" text="YES">
      <formula>NOT(ISERROR(SEARCH("YES",G58)))</formula>
    </cfRule>
  </conditionalFormatting>
  <dataValidations count="1">
    <dataValidation type="list" allowBlank="1" showInputMessage="1" showErrorMessage="1" sqref="C13" xr:uid="{EA15CBF2-CEA9-AE47-81C9-8FEE18EB6E16}">
      <formula1>"Normal,High, Very High"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BC08-CF6B-B34E-B40C-49709E6DFCC9}">
  <sheetPr codeName="Sheet3">
    <tabColor theme="5" tint="-0.249977111117893"/>
  </sheetPr>
  <dimension ref="A1:R167"/>
  <sheetViews>
    <sheetView showGridLines="0" showRowColHeaders="0" topLeftCell="B1" zoomScale="130" zoomScaleNormal="130" workbookViewId="0">
      <selection activeCell="D8" sqref="D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0" defaultRowHeight="16" zeroHeight="1"/>
  <cols>
    <col min="1" max="1" width="4.1640625" customWidth="1"/>
    <col min="2" max="2" width="29" customWidth="1"/>
    <col min="3" max="4" width="22.5" customWidth="1"/>
    <col min="5" max="5" width="31" customWidth="1"/>
    <col min="6" max="6" width="21.5" customWidth="1"/>
    <col min="7" max="8" width="21.1640625" customWidth="1"/>
    <col min="9" max="9" width="29" customWidth="1"/>
    <col min="10" max="18" width="0" hidden="1" customWidth="1"/>
    <col min="19" max="16384" width="10.83203125" hidden="1"/>
  </cols>
  <sheetData>
    <row r="1" spans="1:18" ht="18" customHeight="1">
      <c r="A1" s="2"/>
      <c r="B1" s="136" t="s">
        <v>135</v>
      </c>
      <c r="C1" s="136"/>
      <c r="F1" s="3"/>
    </row>
    <row r="2" spans="1:18" ht="18" customHeight="1">
      <c r="A2" s="2"/>
      <c r="B2" s="136"/>
      <c r="C2" s="136"/>
      <c r="E2" s="148" t="s">
        <v>199</v>
      </c>
      <c r="F2" s="148"/>
      <c r="G2" s="149">
        <f>Introduction!B16</f>
        <v>46126</v>
      </c>
      <c r="H2" s="150"/>
    </row>
    <row r="3" spans="1:18" ht="18" customHeight="1">
      <c r="A3" s="2"/>
      <c r="B3" s="136"/>
      <c r="C3" s="136"/>
      <c r="E3" s="148"/>
      <c r="F3" s="148"/>
      <c r="G3" s="151"/>
      <c r="H3" s="152"/>
    </row>
    <row r="4" spans="1:18" ht="18" customHeight="1">
      <c r="A4" s="2"/>
      <c r="C4" s="4"/>
      <c r="E4" s="24"/>
      <c r="F4" s="24"/>
      <c r="G4" s="23"/>
      <c r="H4" s="23"/>
    </row>
    <row r="5" spans="1:18" ht="35" customHeight="1">
      <c r="A5" s="2"/>
      <c r="B5" s="147"/>
      <c r="C5" s="147"/>
      <c r="E5" s="153" t="s">
        <v>182</v>
      </c>
      <c r="F5" s="153"/>
      <c r="G5" s="146">
        <v>6500</v>
      </c>
      <c r="H5" s="146"/>
    </row>
    <row r="6" spans="1:18" ht="19" customHeight="1">
      <c r="A6" s="2"/>
    </row>
    <row r="7" spans="1:18" ht="35" customHeight="1">
      <c r="A7" s="2"/>
      <c r="B7" s="156" t="s">
        <v>218</v>
      </c>
      <c r="C7" s="156"/>
      <c r="E7" s="153" t="s">
        <v>181</v>
      </c>
      <c r="F7" s="153"/>
      <c r="G7" s="154">
        <f>SUM(H28,H77,H164)</f>
        <v>6411.24</v>
      </c>
      <c r="H7" s="154"/>
    </row>
    <row r="8" spans="1:18" ht="18" customHeight="1">
      <c r="B8" s="51" t="s">
        <v>216</v>
      </c>
      <c r="C8" s="1"/>
    </row>
    <row r="9" spans="1:18" ht="34" customHeight="1">
      <c r="B9" s="140" t="s">
        <v>11</v>
      </c>
      <c r="C9" s="141"/>
      <c r="D9" s="141"/>
      <c r="E9" s="141"/>
      <c r="F9" s="141"/>
      <c r="G9" s="141"/>
      <c r="H9" s="142"/>
    </row>
    <row r="10" spans="1:18" ht="19" customHeight="1">
      <c r="B10" s="25" t="s">
        <v>173</v>
      </c>
      <c r="C10" s="26" t="s">
        <v>1</v>
      </c>
      <c r="D10" s="27" t="s">
        <v>26</v>
      </c>
      <c r="E10" s="27" t="s">
        <v>178</v>
      </c>
      <c r="F10" s="27" t="s">
        <v>184</v>
      </c>
      <c r="G10" s="27" t="s">
        <v>175</v>
      </c>
      <c r="H10" s="28" t="s">
        <v>174</v>
      </c>
      <c r="N10" s="5"/>
      <c r="O10" s="5"/>
      <c r="P10" s="5"/>
      <c r="Q10" s="5"/>
      <c r="R10" s="5"/>
    </row>
    <row r="11" spans="1:18">
      <c r="B11" s="29" t="str">
        <f>IF('Inventory Status'!B10="","",'Inventory Status'!B10)</f>
        <v>Brioche Buns</v>
      </c>
      <c r="C11" s="29" t="str">
        <f>IF('Inventory Status'!C10="","",'Inventory Status'!C10)</f>
        <v>Bread</v>
      </c>
      <c r="D11" s="29" t="str">
        <f>IF('Inventory Status'!D10="","",'Inventory Status'!D10)</f>
        <v>Box</v>
      </c>
      <c r="E11" s="29">
        <f>IF('Inventory Status'!G10="","",'Inventory Status'!G10)*_xlfn.XLOOKUP('Expected Demand'!$C$13,Table33[Demand Level],Table33[Multiplier])</f>
        <v>9</v>
      </c>
      <c r="F11" s="39">
        <v>32.76</v>
      </c>
      <c r="G11" s="37">
        <v>14</v>
      </c>
      <c r="H11" s="31">
        <f>IF(frozenorder[[#This Row],[Order Price]]*frozenorder[[#This Row],[Order Quantity]]=0, "",frozenorder[[#This Row],[Order Price]]*frozenorder[[#This Row],[Order Quantity]])</f>
        <v>458.64</v>
      </c>
    </row>
    <row r="12" spans="1:18">
      <c r="B12" s="29" t="str">
        <f>IF('Inventory Status'!B11="","",'Inventory Status'!B11)</f>
        <v>White Bread</v>
      </c>
      <c r="C12" s="29" t="str">
        <f>IF('Inventory Status'!C11="","",'Inventory Status'!C11)</f>
        <v>Bread</v>
      </c>
      <c r="D12" s="29" t="str">
        <f>IF('Inventory Status'!D11="","",'Inventory Status'!D11)</f>
        <v>Bag</v>
      </c>
      <c r="E12" s="29">
        <f>IF('Inventory Status'!G11="","",'Inventory Status'!G11)*_xlfn.XLOOKUP('Expected Demand'!$C$13,Table33[Demand Level],Table33[Multiplier])</f>
        <v>1</v>
      </c>
      <c r="F12" s="36">
        <v>53.42</v>
      </c>
      <c r="G12" s="37">
        <v>2</v>
      </c>
      <c r="H12" s="31">
        <f>IF(frozenorder[[#This Row],[Order Price]]*frozenorder[[#This Row],[Order Quantity]]=0, "",frozenorder[[#This Row],[Order Price]]*frozenorder[[#This Row],[Order Quantity]])</f>
        <v>106.84</v>
      </c>
    </row>
    <row r="13" spans="1:18">
      <c r="B13" s="29" t="str">
        <f>IF('Inventory Status'!B12="","",'Inventory Status'!B12)</f>
        <v>Gluten-Free Buns</v>
      </c>
      <c r="C13" s="29" t="str">
        <f>IF('Inventory Status'!C12="","",'Inventory Status'!C12)</f>
        <v>Bread</v>
      </c>
      <c r="D13" s="29" t="str">
        <f>IF('Inventory Status'!D12="","",'Inventory Status'!D12)</f>
        <v>Box</v>
      </c>
      <c r="E13" s="29">
        <f>IF('Inventory Status'!G12="","",'Inventory Status'!G12)*_xlfn.XLOOKUP('Expected Demand'!$C$13,Table33[Demand Level],Table33[Multiplier])</f>
        <v>1</v>
      </c>
      <c r="F13" s="36">
        <v>36.72</v>
      </c>
      <c r="G13" s="37">
        <v>2</v>
      </c>
      <c r="H13" s="31">
        <f>IF(frozenorder[[#This Row],[Order Price]]*frozenorder[[#This Row],[Order Quantity]]=0, "",frozenorder[[#This Row],[Order Price]]*frozenorder[[#This Row],[Order Quantity]])</f>
        <v>73.44</v>
      </c>
    </row>
    <row r="14" spans="1:18">
      <c r="B14" s="29" t="str">
        <f>IF('Inventory Status'!B13="","",'Inventory Status'!B13)</f>
        <v>Mini Buns</v>
      </c>
      <c r="C14" s="29" t="str">
        <f>IF('Inventory Status'!C13="","",'Inventory Status'!C13)</f>
        <v>Bread</v>
      </c>
      <c r="D14" s="29" t="str">
        <f>IF('Inventory Status'!D13="","",'Inventory Status'!D13)</f>
        <v>Bag</v>
      </c>
      <c r="E14" s="29">
        <f>IF('Inventory Status'!G13="","",'Inventory Status'!G13)*_xlfn.XLOOKUP('Expected Demand'!$C$13,Table33[Demand Level],Table33[Multiplier])</f>
        <v>0</v>
      </c>
      <c r="F14" s="36">
        <v>45.98</v>
      </c>
      <c r="G14" s="37">
        <v>0</v>
      </c>
      <c r="H14" s="31" t="str">
        <f>IF(frozenorder[[#This Row],[Order Price]]*frozenorder[[#This Row],[Order Quantity]]=0, "",frozenorder[[#This Row],[Order Price]]*frozenorder[[#This Row],[Order Quantity]])</f>
        <v/>
      </c>
    </row>
    <row r="15" spans="1:18">
      <c r="B15" s="29" t="str">
        <f>IF('Inventory Status'!B14="","",'Inventory Status'!B14)</f>
        <v>Lemonade Concentrate</v>
      </c>
      <c r="C15" s="29" t="str">
        <f>IF('Inventory Status'!C14="","",'Inventory Status'!C14)</f>
        <v>Drink</v>
      </c>
      <c r="D15" s="29" t="str">
        <f>IF('Inventory Status'!D14="","",'Inventory Status'!D14)</f>
        <v>Bottle</v>
      </c>
      <c r="E15" s="29">
        <f>IF('Inventory Status'!G14="","",'Inventory Status'!G14)*_xlfn.XLOOKUP('Expected Demand'!$C$13,Table33[Demand Level],Table33[Multiplier])</f>
        <v>0</v>
      </c>
      <c r="F15" s="36">
        <v>46.82</v>
      </c>
      <c r="G15" s="37">
        <v>0</v>
      </c>
      <c r="H15" s="31" t="str">
        <f>IF(frozenorder[[#This Row],[Order Price]]*frozenorder[[#This Row],[Order Quantity]]=0, "",frozenorder[[#This Row],[Order Price]]*frozenorder[[#This Row],[Order Quantity]])</f>
        <v/>
      </c>
    </row>
    <row r="16" spans="1:18">
      <c r="B16" s="29" t="str">
        <f>IF('Inventory Status'!B15="","",'Inventory Status'!B15)</f>
        <v>Sweet Potato Fries</v>
      </c>
      <c r="C16" s="29" t="str">
        <f>IF('Inventory Status'!C15="","",'Inventory Status'!C15)</f>
        <v>Fry</v>
      </c>
      <c r="D16" s="29" t="str">
        <f>IF('Inventory Status'!D15="","",'Inventory Status'!D15)</f>
        <v>Box</v>
      </c>
      <c r="E16" s="29">
        <f>IF('Inventory Status'!G15="","",'Inventory Status'!G15)*_xlfn.XLOOKUP('Expected Demand'!$C$13,Table33[Demand Level],Table33[Multiplier])</f>
        <v>4</v>
      </c>
      <c r="F16" s="36">
        <v>41.25</v>
      </c>
      <c r="G16" s="37">
        <v>6</v>
      </c>
      <c r="H16" s="31">
        <f>IF(frozenorder[[#This Row],[Order Price]]*frozenorder[[#This Row],[Order Quantity]]=0, "",frozenorder[[#This Row],[Order Price]]*frozenorder[[#This Row],[Order Quantity]])</f>
        <v>247.5</v>
      </c>
    </row>
    <row r="17" spans="2:8">
      <c r="B17" s="29" t="str">
        <f>IF('Inventory Status'!B16="","",'Inventory Status'!B16)</f>
        <v>Chocolate Ice Cream</v>
      </c>
      <c r="C17" s="29" t="str">
        <f>IF('Inventory Status'!C16="","",'Inventory Status'!C16)</f>
        <v>Ice Cream</v>
      </c>
      <c r="D17" s="29" t="str">
        <f>IF('Inventory Status'!D16="","",'Inventory Status'!D16)</f>
        <v>Tub</v>
      </c>
      <c r="E17" s="29">
        <f>IF('Inventory Status'!G16="","",'Inventory Status'!G16)*_xlfn.XLOOKUP('Expected Demand'!$C$13,Table33[Demand Level],Table33[Multiplier])</f>
        <v>2</v>
      </c>
      <c r="F17" s="36">
        <v>27.92</v>
      </c>
      <c r="G17" s="37">
        <v>3</v>
      </c>
      <c r="H17" s="31">
        <f>IF(frozenorder[[#This Row],[Order Price]]*frozenorder[[#This Row],[Order Quantity]]=0, "",frozenorder[[#This Row],[Order Price]]*frozenorder[[#This Row],[Order Quantity]])</f>
        <v>83.76</v>
      </c>
    </row>
    <row r="18" spans="2:8">
      <c r="B18" s="29" t="str">
        <f>IF('Inventory Status'!B17="","",'Inventory Status'!B17)</f>
        <v>Vanilla Ice Cream</v>
      </c>
      <c r="C18" s="29" t="str">
        <f>IF('Inventory Status'!C17="","",'Inventory Status'!C17)</f>
        <v>Ice Cream</v>
      </c>
      <c r="D18" s="29" t="str">
        <f>IF('Inventory Status'!D17="","",'Inventory Status'!D17)</f>
        <v>Tub</v>
      </c>
      <c r="E18" s="29">
        <f>IF('Inventory Status'!G17="","",'Inventory Status'!G17)*_xlfn.XLOOKUP('Expected Demand'!$C$13,Table33[Demand Level],Table33[Multiplier])</f>
        <v>1</v>
      </c>
      <c r="F18" s="36">
        <v>30.99</v>
      </c>
      <c r="G18" s="37">
        <v>2</v>
      </c>
      <c r="H18" s="31">
        <f>IF(frozenorder[[#This Row],[Order Price]]*frozenorder[[#This Row],[Order Quantity]]=0, "",frozenorder[[#This Row],[Order Price]]*frozenorder[[#This Row],[Order Quantity]])</f>
        <v>61.98</v>
      </c>
    </row>
    <row r="19" spans="2:8">
      <c r="B19" s="29" t="str">
        <f>IF('Inventory Status'!B18="","",'Inventory Status'!B18)</f>
        <v>Chicken Breast</v>
      </c>
      <c r="C19" s="29" t="str">
        <f>IF('Inventory Status'!C18="","",'Inventory Status'!C18)</f>
        <v>Meat</v>
      </c>
      <c r="D19" s="29" t="str">
        <f>IF('Inventory Status'!D18="","",'Inventory Status'!D18)</f>
        <v>Box</v>
      </c>
      <c r="E19" s="29">
        <f>IF('Inventory Status'!G18="","",'Inventory Status'!G18)*_xlfn.XLOOKUP('Expected Demand'!$C$13,Table33[Demand Level],Table33[Multiplier])</f>
        <v>8</v>
      </c>
      <c r="F19" s="36">
        <v>43.14</v>
      </c>
      <c r="G19" s="37">
        <v>12</v>
      </c>
      <c r="H19" s="31">
        <f>IF(frozenorder[[#This Row],[Order Price]]*frozenorder[[#This Row],[Order Quantity]]=0, "",frozenorder[[#This Row],[Order Price]]*frozenorder[[#This Row],[Order Quantity]])</f>
        <v>517.68000000000006</v>
      </c>
    </row>
    <row r="20" spans="2:8">
      <c r="B20" s="29" t="str">
        <f>IF('Inventory Status'!B19="","",'Inventory Status'!B19)</f>
        <v>Bean Patties</v>
      </c>
      <c r="C20" s="29" t="str">
        <f>IF('Inventory Status'!C19="","",'Inventory Status'!C19)</f>
        <v>Misc</v>
      </c>
      <c r="D20" s="29" t="str">
        <f>IF('Inventory Status'!D19="","",'Inventory Status'!D19)</f>
        <v>Box</v>
      </c>
      <c r="E20" s="29">
        <f>IF('Inventory Status'!G19="","",'Inventory Status'!G19)*_xlfn.XLOOKUP('Expected Demand'!$C$13,Table33[Demand Level],Table33[Multiplier])</f>
        <v>2</v>
      </c>
      <c r="F20" s="36">
        <v>51.04</v>
      </c>
      <c r="G20" s="37">
        <v>3</v>
      </c>
      <c r="H20" s="31">
        <f>IF(frozenorder[[#This Row],[Order Price]]*frozenorder[[#This Row],[Order Quantity]]=0, "",frozenorder[[#This Row],[Order Price]]*frozenorder[[#This Row],[Order Quantity]])</f>
        <v>153.12</v>
      </c>
    </row>
    <row r="21" spans="2:8">
      <c r="B21" s="29" t="str">
        <f>IF('Inventory Status'!B20="","",'Inventory Status'!B20)</f>
        <v>Corn</v>
      </c>
      <c r="C21" s="29" t="str">
        <f>IF('Inventory Status'!C20="","",'Inventory Status'!C20)</f>
        <v>Produce</v>
      </c>
      <c r="D21" s="29" t="str">
        <f>IF('Inventory Status'!D20="","",'Inventory Status'!D20)</f>
        <v>Bag</v>
      </c>
      <c r="E21" s="29">
        <f>IF('Inventory Status'!G20="","",'Inventory Status'!G20)*_xlfn.XLOOKUP('Expected Demand'!$C$13,Table33[Demand Level],Table33[Multiplier])</f>
        <v>0</v>
      </c>
      <c r="F21" s="36">
        <v>23.45</v>
      </c>
      <c r="G21" s="37">
        <v>0</v>
      </c>
      <c r="H21" s="31" t="str">
        <f>IF(frozenorder[[#This Row],[Order Price]]*frozenorder[[#This Row],[Order Quantity]]=0, "",frozenorder[[#This Row],[Order Price]]*frozenorder[[#This Row],[Order Quantity]])</f>
        <v/>
      </c>
    </row>
    <row r="22" spans="2:8">
      <c r="B22" s="29" t="str">
        <f>IF('Inventory Status'!B21="","",'Inventory Status'!B21)</f>
        <v>Habañero Peppers</v>
      </c>
      <c r="C22" s="29" t="str">
        <f>IF('Inventory Status'!C21="","",'Inventory Status'!C21)</f>
        <v>Produce</v>
      </c>
      <c r="D22" s="29" t="str">
        <f>IF('Inventory Status'!D21="","",'Inventory Status'!D21)</f>
        <v>Box</v>
      </c>
      <c r="E22" s="29">
        <f>IF('Inventory Status'!G21="","",'Inventory Status'!G21)*_xlfn.XLOOKUP('Expected Demand'!$C$13,Table33[Demand Level],Table33[Multiplier])</f>
        <v>0</v>
      </c>
      <c r="F22" s="36">
        <v>34.869999999999997</v>
      </c>
      <c r="G22" s="37">
        <v>0</v>
      </c>
      <c r="H22" s="31" t="str">
        <f>IF(frozenorder[[#This Row],[Order Price]]*frozenorder[[#This Row],[Order Quantity]]=0, "",frozenorder[[#This Row],[Order Price]]*frozenorder[[#This Row],[Order Quantity]])</f>
        <v/>
      </c>
    </row>
    <row r="23" spans="2:8">
      <c r="B23" s="29" t="str">
        <f>IF('Inventory Status'!B22="","",'Inventory Status'!B22)</f>
        <v>Strawberry</v>
      </c>
      <c r="C23" s="29" t="str">
        <f>IF('Inventory Status'!C22="","",'Inventory Status'!C22)</f>
        <v>Produce</v>
      </c>
      <c r="D23" s="29" t="str">
        <f>IF('Inventory Status'!D22="","",'Inventory Status'!D22)</f>
        <v>Bottle</v>
      </c>
      <c r="E23" s="29">
        <f>IF('Inventory Status'!G22="","",'Inventory Status'!G22)*_xlfn.XLOOKUP('Expected Demand'!$C$13,Table33[Demand Level],Table33[Multiplier])</f>
        <v>0</v>
      </c>
      <c r="F23" s="36">
        <v>108.4</v>
      </c>
      <c r="G23" s="37">
        <v>0</v>
      </c>
      <c r="H23" s="31" t="str">
        <f>IF(frozenorder[[#This Row],[Order Price]]*frozenorder[[#This Row],[Order Quantity]]=0, "",frozenorder[[#This Row],[Order Price]]*frozenorder[[#This Row],[Order Quantity]])</f>
        <v/>
      </c>
    </row>
    <row r="24" spans="2:8">
      <c r="B24" s="29" t="str">
        <f>IF('Inventory Status'!B23="","",'Inventory Status'!B23)</f>
        <v/>
      </c>
      <c r="C24" s="29" t="str">
        <f>IF('Inventory Status'!C23="","",'Inventory Status'!C23)</f>
        <v/>
      </c>
      <c r="D24" s="29" t="str">
        <f>IF('Inventory Status'!D23="","",'Inventory Status'!D23)</f>
        <v/>
      </c>
      <c r="E24" s="29"/>
      <c r="F24" s="36"/>
      <c r="G24" s="37"/>
      <c r="H24" s="31" t="str">
        <f>IF(frozenorder[[#This Row],[Order Price]]*frozenorder[[#This Row],[Order Quantity]]=0, "",frozenorder[[#This Row],[Order Price]]*frozenorder[[#This Row],[Order Quantity]])</f>
        <v/>
      </c>
    </row>
    <row r="25" spans="2:8">
      <c r="B25" s="29" t="str">
        <f>IF('Inventory Status'!B24="","",'Inventory Status'!B24)</f>
        <v/>
      </c>
      <c r="C25" s="29" t="str">
        <f>IF('Inventory Status'!C24="","",'Inventory Status'!C24)</f>
        <v/>
      </c>
      <c r="D25" s="29" t="str">
        <f>IF('Inventory Status'!D24="","",'Inventory Status'!D24)</f>
        <v/>
      </c>
      <c r="E25" s="29"/>
      <c r="F25" s="36"/>
      <c r="G25" s="37"/>
      <c r="H25" s="31" t="str">
        <f>IF(frozenorder[[#This Row],[Order Price]]*frozenorder[[#This Row],[Order Quantity]]=0, "",frozenorder[[#This Row],[Order Price]]*frozenorder[[#This Row],[Order Quantity]])</f>
        <v/>
      </c>
    </row>
    <row r="26" spans="2:8">
      <c r="B26" s="29" t="str">
        <f>IF('Inventory Status'!B25="","",'Inventory Status'!B25)</f>
        <v/>
      </c>
      <c r="C26" s="29" t="str">
        <f>IF('Inventory Status'!C25="","",'Inventory Status'!C25)</f>
        <v/>
      </c>
      <c r="D26" s="29" t="str">
        <f>IF('Inventory Status'!D25="","",'Inventory Status'!D25)</f>
        <v/>
      </c>
      <c r="E26" s="29"/>
      <c r="F26" s="36"/>
      <c r="G26" s="37"/>
      <c r="H26" s="31" t="str">
        <f>IF(frozenorder[[#This Row],[Order Price]]*frozenorder[[#This Row],[Order Quantity]]=0, "",frozenorder[[#This Row],[Order Price]]*frozenorder[[#This Row],[Order Quantity]])</f>
        <v/>
      </c>
    </row>
    <row r="27" spans="2:8">
      <c r="B27" s="29" t="str">
        <f>IF('Inventory Status'!B26="","",'Inventory Status'!B26)</f>
        <v/>
      </c>
      <c r="C27" s="29" t="str">
        <f>IF('Inventory Status'!C26="","",'Inventory Status'!C26)</f>
        <v/>
      </c>
      <c r="D27" s="29" t="str">
        <f>IF('Inventory Status'!D26="","",'Inventory Status'!D26)</f>
        <v/>
      </c>
      <c r="E27" s="29"/>
      <c r="F27" s="40"/>
      <c r="G27" s="38"/>
      <c r="H27" s="31" t="str">
        <f>IF(frozenorder[[#This Row],[Order Price]]*frozenorder[[#This Row],[Order Quantity]]=0, "",frozenorder[[#This Row],[Order Price]]*frozenorder[[#This Row],[Order Quantity]])</f>
        <v/>
      </c>
    </row>
    <row r="28" spans="2:8" ht="16" customHeight="1">
      <c r="F28" s="30"/>
      <c r="G28" s="145" t="s">
        <v>177</v>
      </c>
      <c r="H28" s="143">
        <f>SUM(frozenorder[Line Price])</f>
        <v>1702.96</v>
      </c>
    </row>
    <row r="29" spans="2:8" ht="16" customHeight="1">
      <c r="F29" s="30"/>
      <c r="G29" s="145"/>
      <c r="H29" s="144"/>
    </row>
    <row r="30" spans="2:8"/>
    <row r="31" spans="2:8" ht="29">
      <c r="B31" s="137" t="s">
        <v>13</v>
      </c>
      <c r="C31" s="138"/>
      <c r="D31" s="138"/>
      <c r="E31" s="138"/>
      <c r="F31" s="138"/>
      <c r="G31" s="138"/>
      <c r="H31" s="139"/>
    </row>
    <row r="32" spans="2:8">
      <c r="B32" s="25" t="s">
        <v>173</v>
      </c>
      <c r="C32" s="26" t="s">
        <v>1</v>
      </c>
      <c r="D32" s="27" t="s">
        <v>26</v>
      </c>
      <c r="E32" s="27" t="s">
        <v>178</v>
      </c>
      <c r="F32" s="27" t="s">
        <v>184</v>
      </c>
      <c r="G32" s="27" t="s">
        <v>175</v>
      </c>
      <c r="H32" s="28" t="s">
        <v>174</v>
      </c>
    </row>
    <row r="33" spans="2:8">
      <c r="B33" s="29" t="str">
        <f>IF('Inventory Status'!B30="","",'Inventory Status'!B30)</f>
        <v>Butter</v>
      </c>
      <c r="C33" s="29" t="str">
        <f>IF('Inventory Status'!C30="","",'Inventory Status'!C30)</f>
        <v>Dairy</v>
      </c>
      <c r="D33" s="41" t="str">
        <f>IF('Inventory Status'!D30="","",'Inventory Status'!D30)</f>
        <v>Stick</v>
      </c>
      <c r="E33" s="29">
        <f>IF('Inventory Status'!G30*_xlfn.XLOOKUP('Expected Demand'!$C$13,Table33[Demand Level],Table33[Multiplier])="","",'Inventory Status'!G30*_xlfn.XLOOKUP('Expected Demand'!$C$13,Table33[Demand Level],Table33[Multiplier]))</f>
        <v>0</v>
      </c>
      <c r="F33" s="39">
        <v>32.340000000000003</v>
      </c>
      <c r="G33" s="7">
        <v>0</v>
      </c>
      <c r="H33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34" spans="2:8">
      <c r="B34" s="29" t="str">
        <f>IF('Inventory Status'!B31="","",'Inventory Status'!B31)</f>
        <v>Whipped Cream</v>
      </c>
      <c r="C34" s="29" t="str">
        <f>IF('Inventory Status'!C31="","",'Inventory Status'!C31)</f>
        <v>Dairy</v>
      </c>
      <c r="D34" s="41" t="str">
        <f>IF('Inventory Status'!D31="","",'Inventory Status'!D31)</f>
        <v>Can</v>
      </c>
      <c r="E34" s="29">
        <f>IF('Inventory Status'!G31*_xlfn.XLOOKUP('Expected Demand'!$C$13,Table33[Demand Level],Table33[Multiplier])="","",'Inventory Status'!G31*_xlfn.XLOOKUP('Expected Demand'!$C$13,Table33[Demand Level],Table33[Multiplier]))</f>
        <v>0</v>
      </c>
      <c r="F34" s="32">
        <v>22.45</v>
      </c>
      <c r="G34" s="7">
        <v>0</v>
      </c>
      <c r="H34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35" spans="2:8">
      <c r="B35" s="29" t="str">
        <f>IF('Inventory Status'!B32="","",'Inventory Status'!B32)</f>
        <v>Heavy Whipping Cream</v>
      </c>
      <c r="C35" s="29" t="str">
        <f>IF('Inventory Status'!C32="","",'Inventory Status'!C32)</f>
        <v>Dairy</v>
      </c>
      <c r="D35" s="41" t="str">
        <f>IF('Inventory Status'!D32="","",'Inventory Status'!D32)</f>
        <v>Carton</v>
      </c>
      <c r="E35" s="29">
        <f>IF('Inventory Status'!G32*_xlfn.XLOOKUP('Expected Demand'!$C$13,Table33[Demand Level],Table33[Multiplier])="","",'Inventory Status'!G32*_xlfn.XLOOKUP('Expected Demand'!$C$13,Table33[Demand Level],Table33[Multiplier]))</f>
        <v>1</v>
      </c>
      <c r="F35" s="32">
        <v>13.66</v>
      </c>
      <c r="G35" s="7">
        <v>2</v>
      </c>
      <c r="H35" s="31">
        <f>IF(refridgeratedorder[[#This Row],[Order Price]]*refridgeratedorder[[#This Row],[Order Quantity]]=0, "",refridgeratedorder[[#This Row],[Order Price]]*refridgeratedorder[[#This Row],[Order Quantity]])</f>
        <v>27.32</v>
      </c>
    </row>
    <row r="36" spans="2:8">
      <c r="B36" s="29" t="str">
        <f>IF('Inventory Status'!B33="","",'Inventory Status'!B33)</f>
        <v>Milk</v>
      </c>
      <c r="C36" s="29" t="str">
        <f>IF('Inventory Status'!C33="","",'Inventory Status'!C33)</f>
        <v>Dairy</v>
      </c>
      <c r="D36" s="41" t="str">
        <f>IF('Inventory Status'!D33="","",'Inventory Status'!D33)</f>
        <v>Carton</v>
      </c>
      <c r="E36" s="29">
        <f>IF('Inventory Status'!G33*_xlfn.XLOOKUP('Expected Demand'!$C$13,Table33[Demand Level],Table33[Multiplier])="","",'Inventory Status'!G33*_xlfn.XLOOKUP('Expected Demand'!$C$13,Table33[Demand Level],Table33[Multiplier]))</f>
        <v>2</v>
      </c>
      <c r="F36" s="32">
        <v>12.07</v>
      </c>
      <c r="G36" s="7">
        <v>3</v>
      </c>
      <c r="H36" s="31">
        <f>IF(refridgeratedorder[[#This Row],[Order Price]]*refridgeratedorder[[#This Row],[Order Quantity]]=0, "",refridgeratedorder[[#This Row],[Order Price]]*refridgeratedorder[[#This Row],[Order Quantity]])</f>
        <v>36.21</v>
      </c>
    </row>
    <row r="37" spans="2:8">
      <c r="B37" s="29" t="str">
        <f>IF('Inventory Status'!B34="","",'Inventory Status'!B34)</f>
        <v>Sliced Cheddar Cheese</v>
      </c>
      <c r="C37" s="29" t="str">
        <f>IF('Inventory Status'!C34="","",'Inventory Status'!C34)</f>
        <v>Dairy</v>
      </c>
      <c r="D37" s="41" t="str">
        <f>IF('Inventory Status'!D34="","",'Inventory Status'!D34)</f>
        <v>Bag</v>
      </c>
      <c r="E37" s="29">
        <f>IF('Inventory Status'!G34*_xlfn.XLOOKUP('Expected Demand'!$C$13,Table33[Demand Level],Table33[Multiplier])="","",'Inventory Status'!G34*_xlfn.XLOOKUP('Expected Demand'!$C$13,Table33[Demand Level],Table33[Multiplier]))</f>
        <v>4</v>
      </c>
      <c r="F37" s="32">
        <v>29.26</v>
      </c>
      <c r="G37" s="7">
        <v>6</v>
      </c>
      <c r="H37" s="31">
        <f>IF(refridgeratedorder[[#This Row],[Order Price]]*refridgeratedorder[[#This Row],[Order Quantity]]=0, "",refridgeratedorder[[#This Row],[Order Price]]*refridgeratedorder[[#This Row],[Order Quantity]])</f>
        <v>175.56</v>
      </c>
    </row>
    <row r="38" spans="2:8">
      <c r="B38" s="29" t="str">
        <f>IF('Inventory Status'!B35="","",'Inventory Status'!B35)</f>
        <v>Bleu Cheese</v>
      </c>
      <c r="C38" s="29" t="str">
        <f>IF('Inventory Status'!C35="","",'Inventory Status'!C35)</f>
        <v>Dairy</v>
      </c>
      <c r="D38" s="41" t="str">
        <f>IF('Inventory Status'!D35="","",'Inventory Status'!D35)</f>
        <v>Bag</v>
      </c>
      <c r="E38" s="29">
        <f>IF('Inventory Status'!G35*_xlfn.XLOOKUP('Expected Demand'!$C$13,Table33[Demand Level],Table33[Multiplier])="","",'Inventory Status'!G35*_xlfn.XLOOKUP('Expected Demand'!$C$13,Table33[Demand Level],Table33[Multiplier]))</f>
        <v>1</v>
      </c>
      <c r="F38" s="32">
        <v>22.72</v>
      </c>
      <c r="G38" s="7">
        <v>2</v>
      </c>
      <c r="H38" s="31">
        <f>IF(refridgeratedorder[[#This Row],[Order Price]]*refridgeratedorder[[#This Row],[Order Quantity]]=0, "",refridgeratedorder[[#This Row],[Order Price]]*refridgeratedorder[[#This Row],[Order Quantity]])</f>
        <v>45.44</v>
      </c>
    </row>
    <row r="39" spans="2:8">
      <c r="B39" s="29" t="str">
        <f>IF('Inventory Status'!B36="","",'Inventory Status'!B36)</f>
        <v>Shredded Cheddar Cheese</v>
      </c>
      <c r="C39" s="29" t="str">
        <f>IF('Inventory Status'!C36="","",'Inventory Status'!C36)</f>
        <v>Dairy</v>
      </c>
      <c r="D39" s="41" t="str">
        <f>IF('Inventory Status'!D36="","",'Inventory Status'!D36)</f>
        <v>Bag</v>
      </c>
      <c r="E39" s="29">
        <f>IF('Inventory Status'!G36*_xlfn.XLOOKUP('Expected Demand'!$C$13,Table33[Demand Level],Table33[Multiplier])="","",'Inventory Status'!G36*_xlfn.XLOOKUP('Expected Demand'!$C$13,Table33[Demand Level],Table33[Multiplier]))</f>
        <v>2</v>
      </c>
      <c r="F39" s="32">
        <v>21.23</v>
      </c>
      <c r="G39" s="7">
        <v>3</v>
      </c>
      <c r="H39" s="31">
        <f>IF(refridgeratedorder[[#This Row],[Order Price]]*refridgeratedorder[[#This Row],[Order Quantity]]=0, "",refridgeratedorder[[#This Row],[Order Price]]*refridgeratedorder[[#This Row],[Order Quantity]])</f>
        <v>63.69</v>
      </c>
    </row>
    <row r="40" spans="2:8">
      <c r="B40" s="29" t="str">
        <f>IF('Inventory Status'!B37="","",'Inventory Status'!B37)</f>
        <v>Sliced Pepperjack Cheese</v>
      </c>
      <c r="C40" s="29" t="str">
        <f>IF('Inventory Status'!C37="","",'Inventory Status'!C37)</f>
        <v>Dairy</v>
      </c>
      <c r="D40" s="41" t="str">
        <f>IF('Inventory Status'!D37="","",'Inventory Status'!D37)</f>
        <v>Bag</v>
      </c>
      <c r="E40" s="29">
        <f>IF('Inventory Status'!G37*_xlfn.XLOOKUP('Expected Demand'!$C$13,Table33[Demand Level],Table33[Multiplier])="","",'Inventory Status'!G37*_xlfn.XLOOKUP('Expected Demand'!$C$13,Table33[Demand Level],Table33[Multiplier]))</f>
        <v>5</v>
      </c>
      <c r="F40" s="32">
        <v>34.11</v>
      </c>
      <c r="G40" s="7">
        <v>8</v>
      </c>
      <c r="H40" s="31">
        <f>IF(refridgeratedorder[[#This Row],[Order Price]]*refridgeratedorder[[#This Row],[Order Quantity]]=0, "",refridgeratedorder[[#This Row],[Order Price]]*refridgeratedorder[[#This Row],[Order Quantity]])</f>
        <v>272.88</v>
      </c>
    </row>
    <row r="41" spans="2:8">
      <c r="B41" s="29" t="str">
        <f>IF('Inventory Status'!B38="","",'Inventory Status'!B38)</f>
        <v>Goat Cheese</v>
      </c>
      <c r="C41" s="29" t="str">
        <f>IF('Inventory Status'!C38="","",'Inventory Status'!C38)</f>
        <v>Dairy</v>
      </c>
      <c r="D41" s="41" t="str">
        <f>IF('Inventory Status'!D38="","",'Inventory Status'!D38)</f>
        <v>Container</v>
      </c>
      <c r="E41" s="29">
        <f>IF('Inventory Status'!G38*_xlfn.XLOOKUP('Expected Demand'!$C$13,Table33[Demand Level],Table33[Multiplier])="","",'Inventory Status'!G38*_xlfn.XLOOKUP('Expected Demand'!$C$13,Table33[Demand Level],Table33[Multiplier]))</f>
        <v>0</v>
      </c>
      <c r="F41" s="32">
        <v>33.369999999999997</v>
      </c>
      <c r="G41" s="7">
        <v>0</v>
      </c>
      <c r="H41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42" spans="2:8">
      <c r="B42" s="29" t="str">
        <f>IF('Inventory Status'!B39="","",'Inventory Status'!B39)</f>
        <v>Shredded Parmesan Cheese</v>
      </c>
      <c r="C42" s="29" t="str">
        <f>IF('Inventory Status'!C39="","",'Inventory Status'!C39)</f>
        <v>Dairy</v>
      </c>
      <c r="D42" s="41" t="str">
        <f>IF('Inventory Status'!D39="","",'Inventory Status'!D39)</f>
        <v>Bag</v>
      </c>
      <c r="E42" s="29">
        <f>IF('Inventory Status'!G39*_xlfn.XLOOKUP('Expected Demand'!$C$13,Table33[Demand Level],Table33[Multiplier])="","",'Inventory Status'!G39*_xlfn.XLOOKUP('Expected Demand'!$C$13,Table33[Demand Level],Table33[Multiplier]))</f>
        <v>2</v>
      </c>
      <c r="F42" s="32">
        <v>41.51</v>
      </c>
      <c r="G42" s="7">
        <v>3</v>
      </c>
      <c r="H42" s="31">
        <f>IF(refridgeratedorder[[#This Row],[Order Price]]*refridgeratedorder[[#This Row],[Order Quantity]]=0, "",refridgeratedorder[[#This Row],[Order Price]]*refridgeratedorder[[#This Row],[Order Quantity]])</f>
        <v>124.53</v>
      </c>
    </row>
    <row r="43" spans="2:8">
      <c r="B43" s="29" t="str">
        <f>IF('Inventory Status'!B40="","",'Inventory Status'!B40)</f>
        <v>Swiss Cheese</v>
      </c>
      <c r="C43" s="29" t="str">
        <f>IF('Inventory Status'!C40="","",'Inventory Status'!C40)</f>
        <v>Dairy</v>
      </c>
      <c r="D43" s="41" t="str">
        <f>IF('Inventory Status'!D40="","",'Inventory Status'!D40)</f>
        <v>Bag</v>
      </c>
      <c r="E43" s="29">
        <f>IF('Inventory Status'!G40*_xlfn.XLOOKUP('Expected Demand'!$C$13,Table33[Demand Level],Table33[Multiplier])="","",'Inventory Status'!G40*_xlfn.XLOOKUP('Expected Demand'!$C$13,Table33[Demand Level],Table33[Multiplier]))</f>
        <v>0</v>
      </c>
      <c r="F43" s="32">
        <v>23.12</v>
      </c>
      <c r="G43" s="7">
        <v>0</v>
      </c>
      <c r="H43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44" spans="2:8">
      <c r="B44" s="29" t="str">
        <f>IF('Inventory Status'!B41="","",'Inventory Status'!B41)</f>
        <v>Coffee Concentrate</v>
      </c>
      <c r="C44" s="29" t="str">
        <f>IF('Inventory Status'!C41="","",'Inventory Status'!C41)</f>
        <v>Drink</v>
      </c>
      <c r="D44" s="41" t="str">
        <f>IF('Inventory Status'!D41="","",'Inventory Status'!D41)</f>
        <v>Bottle</v>
      </c>
      <c r="E44" s="29">
        <f>IF('Inventory Status'!G41*_xlfn.XLOOKUP('Expected Demand'!$C$13,Table33[Demand Level],Table33[Multiplier])="","",'Inventory Status'!G41*_xlfn.XLOOKUP('Expected Demand'!$C$13,Table33[Demand Level],Table33[Multiplier]))</f>
        <v>1</v>
      </c>
      <c r="F44" s="32">
        <v>36.72</v>
      </c>
      <c r="G44" s="7">
        <v>2</v>
      </c>
      <c r="H44" s="31">
        <f>IF(refridgeratedorder[[#This Row],[Order Price]]*refridgeratedorder[[#This Row],[Order Quantity]]=0, "",refridgeratedorder[[#This Row],[Order Price]]*refridgeratedorder[[#This Row],[Order Quantity]])</f>
        <v>73.44</v>
      </c>
    </row>
    <row r="45" spans="2:8">
      <c r="B45" s="29" t="str">
        <f>IF('Inventory Status'!B42="","",'Inventory Status'!B42)</f>
        <v>Apple Juice</v>
      </c>
      <c r="C45" s="29" t="str">
        <f>IF('Inventory Status'!C42="","",'Inventory Status'!C42)</f>
        <v>Drink</v>
      </c>
      <c r="D45" s="41" t="str">
        <f>IF('Inventory Status'!D42="","",'Inventory Status'!D42)</f>
        <v>Bottle</v>
      </c>
      <c r="E45" s="29">
        <f>IF('Inventory Status'!G42*_xlfn.XLOOKUP('Expected Demand'!$C$13,Table33[Demand Level],Table33[Multiplier])="","",'Inventory Status'!G42*_xlfn.XLOOKUP('Expected Demand'!$C$13,Table33[Demand Level],Table33[Multiplier]))</f>
        <v>0</v>
      </c>
      <c r="F45" s="32">
        <v>29.08</v>
      </c>
      <c r="G45" s="7">
        <v>0</v>
      </c>
      <c r="H45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46" spans="2:8">
      <c r="B46" s="29" t="str">
        <f>IF('Inventory Status'!B43="","",'Inventory Status'!B43)</f>
        <v>Diet Coke</v>
      </c>
      <c r="C46" s="29" t="str">
        <f>IF('Inventory Status'!C43="","",'Inventory Status'!C43)</f>
        <v>Drink</v>
      </c>
      <c r="D46" s="41" t="str">
        <f>IF('Inventory Status'!D43="","",'Inventory Status'!D43)</f>
        <v>Bottle</v>
      </c>
      <c r="E46" s="29">
        <f>IF('Inventory Status'!G43*_xlfn.XLOOKUP('Expected Demand'!$C$13,Table33[Demand Level],Table33[Multiplier])="","",'Inventory Status'!G43*_xlfn.XLOOKUP('Expected Demand'!$C$13,Table33[Demand Level],Table33[Multiplier]))</f>
        <v>0</v>
      </c>
      <c r="F46" s="32">
        <v>29.87</v>
      </c>
      <c r="G46" s="7">
        <v>0</v>
      </c>
      <c r="H46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47" spans="2:8">
      <c r="B47" s="29" t="str">
        <f>IF('Inventory Status'!B44="","",'Inventory Status'!B44)</f>
        <v>Coca-Cola</v>
      </c>
      <c r="C47" s="29" t="str">
        <f>IF('Inventory Status'!C44="","",'Inventory Status'!C44)</f>
        <v>Drink</v>
      </c>
      <c r="D47" s="41" t="str">
        <f>IF('Inventory Status'!D44="","",'Inventory Status'!D44)</f>
        <v>Bottle</v>
      </c>
      <c r="E47" s="29">
        <f>IF('Inventory Status'!G44*_xlfn.XLOOKUP('Expected Demand'!$C$13,Table33[Demand Level],Table33[Multiplier])="","",'Inventory Status'!G44*_xlfn.XLOOKUP('Expected Demand'!$C$13,Table33[Demand Level],Table33[Multiplier]))</f>
        <v>0</v>
      </c>
      <c r="F47" s="32">
        <v>29.87</v>
      </c>
      <c r="G47" s="7">
        <v>0</v>
      </c>
      <c r="H47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48" spans="2:8">
      <c r="B48" s="29" t="str">
        <f>IF('Inventory Status'!B45="","",'Inventory Status'!B45)</f>
        <v>Orange Juice</v>
      </c>
      <c r="C48" s="29" t="str">
        <f>IF('Inventory Status'!C45="","",'Inventory Status'!C45)</f>
        <v>Drink</v>
      </c>
      <c r="D48" s="41" t="str">
        <f>IF('Inventory Status'!D45="","",'Inventory Status'!D45)</f>
        <v>Bottle</v>
      </c>
      <c r="E48" s="29">
        <f>IF('Inventory Status'!G45*_xlfn.XLOOKUP('Expected Demand'!$C$13,Table33[Demand Level],Table33[Multiplier])="","",'Inventory Status'!G45*_xlfn.XLOOKUP('Expected Demand'!$C$13,Table33[Demand Level],Table33[Multiplier]))</f>
        <v>2</v>
      </c>
      <c r="F48" s="32">
        <v>38.340000000000003</v>
      </c>
      <c r="G48" s="7">
        <v>3</v>
      </c>
      <c r="H48" s="31">
        <f>IF(refridgeratedorder[[#This Row],[Order Price]]*refridgeratedorder[[#This Row],[Order Quantity]]=0, "",refridgeratedorder[[#This Row],[Order Price]]*refridgeratedorder[[#This Row],[Order Quantity]])</f>
        <v>115.02000000000001</v>
      </c>
    </row>
    <row r="49" spans="2:8">
      <c r="B49" s="29" t="str">
        <f>IF('Inventory Status'!B46="","",'Inventory Status'!B46)</f>
        <v>Smart Water</v>
      </c>
      <c r="C49" s="29" t="str">
        <f>IF('Inventory Status'!C46="","",'Inventory Status'!C46)</f>
        <v>Drink</v>
      </c>
      <c r="D49" s="41" t="str">
        <f>IF('Inventory Status'!D46="","",'Inventory Status'!D46)</f>
        <v>Bottle</v>
      </c>
      <c r="E49" s="29">
        <f>IF('Inventory Status'!G46*_xlfn.XLOOKUP('Expected Demand'!$C$13,Table33[Demand Level],Table33[Multiplier])="","",'Inventory Status'!G46*_xlfn.XLOOKUP('Expected Demand'!$C$13,Table33[Demand Level],Table33[Multiplier]))</f>
        <v>8</v>
      </c>
      <c r="F49" s="32">
        <v>19.03</v>
      </c>
      <c r="G49" s="7">
        <v>1</v>
      </c>
      <c r="H49" s="31">
        <f>IF(refridgeratedorder[[#This Row],[Order Price]]*refridgeratedorder[[#This Row],[Order Quantity]]=0, "",refridgeratedorder[[#This Row],[Order Price]]*refridgeratedorder[[#This Row],[Order Quantity]])</f>
        <v>19.03</v>
      </c>
    </row>
    <row r="50" spans="2:8">
      <c r="B50" s="29" t="str">
        <f>IF('Inventory Status'!B47="","",'Inventory Status'!B47)</f>
        <v>Russet Potatos</v>
      </c>
      <c r="C50" s="29" t="str">
        <f>IF('Inventory Status'!C47="","",'Inventory Status'!C47)</f>
        <v>Fry</v>
      </c>
      <c r="D50" s="41" t="str">
        <f>IF('Inventory Status'!D47="","",'Inventory Status'!D47)</f>
        <v>Box</v>
      </c>
      <c r="E50" s="29">
        <f>IF('Inventory Status'!G47*_xlfn.XLOOKUP('Expected Demand'!$C$13,Table33[Demand Level],Table33[Multiplier])="","",'Inventory Status'!G47*_xlfn.XLOOKUP('Expected Demand'!$C$13,Table33[Demand Level],Table33[Multiplier]))</f>
        <v>8</v>
      </c>
      <c r="F50" s="32">
        <v>15.26</v>
      </c>
      <c r="G50" s="7">
        <v>1</v>
      </c>
      <c r="H50" s="31">
        <f>IF(refridgeratedorder[[#This Row],[Order Price]]*refridgeratedorder[[#This Row],[Order Quantity]]=0, "",refridgeratedorder[[#This Row],[Order Price]]*refridgeratedorder[[#This Row],[Order Quantity]])</f>
        <v>15.26</v>
      </c>
    </row>
    <row r="51" spans="2:8">
      <c r="B51" s="29" t="str">
        <f>IF('Inventory Status'!B48="","",'Inventory Status'!B48)</f>
        <v>Chocolate Flakes</v>
      </c>
      <c r="C51" s="29" t="str">
        <f>IF('Inventory Status'!C48="","",'Inventory Status'!C48)</f>
        <v>Ingredient</v>
      </c>
      <c r="D51" s="41" t="str">
        <f>IF('Inventory Status'!D48="","",'Inventory Status'!D48)</f>
        <v>Box</v>
      </c>
      <c r="E51" s="29">
        <f>IF('Inventory Status'!G48*_xlfn.XLOOKUP('Expected Demand'!$C$13,Table33[Demand Level],Table33[Multiplier])="","",'Inventory Status'!G48*_xlfn.XLOOKUP('Expected Demand'!$C$13,Table33[Demand Level],Table33[Multiplier]))</f>
        <v>0</v>
      </c>
      <c r="F51" s="32">
        <v>45.61</v>
      </c>
      <c r="G51" s="7">
        <v>0</v>
      </c>
      <c r="H51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52" spans="2:8">
      <c r="B52" s="29" t="str">
        <f>IF('Inventory Status'!B49="","",'Inventory Status'!B49)</f>
        <v>Eggs</v>
      </c>
      <c r="C52" s="29" t="str">
        <f>IF('Inventory Status'!C49="","",'Inventory Status'!C49)</f>
        <v>Ingredient</v>
      </c>
      <c r="D52" s="41" t="str">
        <f>IF('Inventory Status'!D49="","",'Inventory Status'!D49)</f>
        <v>Box</v>
      </c>
      <c r="E52" s="29">
        <f>IF('Inventory Status'!G49*_xlfn.XLOOKUP('Expected Demand'!$C$13,Table33[Demand Level],Table33[Multiplier])="","",'Inventory Status'!G49*_xlfn.XLOOKUP('Expected Demand'!$C$13,Table33[Demand Level],Table33[Multiplier]))</f>
        <v>0</v>
      </c>
      <c r="F52" s="32">
        <v>29.61</v>
      </c>
      <c r="G52" s="7">
        <v>0</v>
      </c>
      <c r="H52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53" spans="2:8">
      <c r="B53" s="29" t="str">
        <f>IF('Inventory Status'!B50="","",'Inventory Status'!B50)</f>
        <v>Worcheshire</v>
      </c>
      <c r="C53" s="29" t="str">
        <f>IF('Inventory Status'!C50="","",'Inventory Status'!C50)</f>
        <v>Ingredient</v>
      </c>
      <c r="D53" s="41" t="str">
        <f>IF('Inventory Status'!D50="","",'Inventory Status'!D50)</f>
        <v>Container</v>
      </c>
      <c r="E53" s="29">
        <f>IF('Inventory Status'!G50*_xlfn.XLOOKUP('Expected Demand'!$C$13,Table33[Demand Level],Table33[Multiplier])="","",'Inventory Status'!G50*_xlfn.XLOOKUP('Expected Demand'!$C$13,Table33[Demand Level],Table33[Multiplier]))</f>
        <v>0</v>
      </c>
      <c r="F53" s="32">
        <v>16.78</v>
      </c>
      <c r="G53" s="7">
        <v>0</v>
      </c>
      <c r="H53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54" spans="2:8">
      <c r="B54" s="29" t="str">
        <f>IF('Inventory Status'!B51="","",'Inventory Status'!B51)</f>
        <v>Lemon Juice</v>
      </c>
      <c r="C54" s="29" t="str">
        <f>IF('Inventory Status'!C51="","",'Inventory Status'!C51)</f>
        <v>Ingredient</v>
      </c>
      <c r="D54" s="41" t="str">
        <f>IF('Inventory Status'!D51="","",'Inventory Status'!D51)</f>
        <v>Bottle</v>
      </c>
      <c r="E54" s="29">
        <f>IF('Inventory Status'!G51*_xlfn.XLOOKUP('Expected Demand'!$C$13,Table33[Demand Level],Table33[Multiplier])="","",'Inventory Status'!G51*_xlfn.XLOOKUP('Expected Demand'!$C$13,Table33[Demand Level],Table33[Multiplier]))</f>
        <v>0</v>
      </c>
      <c r="F54" s="32">
        <v>7.02</v>
      </c>
      <c r="G54" s="7">
        <v>0</v>
      </c>
      <c r="H54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55" spans="2:8">
      <c r="B55" s="29" t="str">
        <f>IF('Inventory Status'!B52="","",'Inventory Status'!B52)</f>
        <v>Beef Patties</v>
      </c>
      <c r="C55" s="29" t="str">
        <f>IF('Inventory Status'!C52="","",'Inventory Status'!C52)</f>
        <v>Meat</v>
      </c>
      <c r="D55" s="41" t="str">
        <f>IF('Inventory Status'!D52="","",'Inventory Status'!D52)</f>
        <v>Box</v>
      </c>
      <c r="E55" s="29">
        <f>IF('Inventory Status'!G52*_xlfn.XLOOKUP('Expected Demand'!$C$13,Table33[Demand Level],Table33[Multiplier])="","",'Inventory Status'!G52*_xlfn.XLOOKUP('Expected Demand'!$C$13,Table33[Demand Level],Table33[Multiplier]))</f>
        <v>10</v>
      </c>
      <c r="F55" s="32">
        <v>33.93</v>
      </c>
      <c r="G55" s="7">
        <v>15</v>
      </c>
      <c r="H55" s="31">
        <f>IF(refridgeratedorder[[#This Row],[Order Price]]*refridgeratedorder[[#This Row],[Order Quantity]]=0, "",refridgeratedorder[[#This Row],[Order Price]]*refridgeratedorder[[#This Row],[Order Quantity]])</f>
        <v>508.95</v>
      </c>
    </row>
    <row r="56" spans="2:8">
      <c r="B56" s="29" t="str">
        <f>IF('Inventory Status'!B53="","",'Inventory Status'!B53)</f>
        <v>Bacon</v>
      </c>
      <c r="C56" s="29" t="str">
        <f>IF('Inventory Status'!C53="","",'Inventory Status'!C53)</f>
        <v>Meat</v>
      </c>
      <c r="D56" s="41" t="str">
        <f>IF('Inventory Status'!D53="","",'Inventory Status'!D53)</f>
        <v>Box</v>
      </c>
      <c r="E56" s="29">
        <f>IF('Inventory Status'!G53*_xlfn.XLOOKUP('Expected Demand'!$C$13,Table33[Demand Level],Table33[Multiplier])="","",'Inventory Status'!G53*_xlfn.XLOOKUP('Expected Demand'!$C$13,Table33[Demand Level],Table33[Multiplier]))</f>
        <v>2</v>
      </c>
      <c r="F56" s="32">
        <v>61.01</v>
      </c>
      <c r="G56" s="7">
        <v>3</v>
      </c>
      <c r="H56" s="31">
        <f>IF(refridgeratedorder[[#This Row],[Order Price]]*refridgeratedorder[[#This Row],[Order Quantity]]=0, "",refridgeratedorder[[#This Row],[Order Price]]*refridgeratedorder[[#This Row],[Order Quantity]])</f>
        <v>183.03</v>
      </c>
    </row>
    <row r="57" spans="2:8">
      <c r="B57" s="29" t="str">
        <f>IF('Inventory Status'!B54="","",'Inventory Status'!B54)</f>
        <v>Ham</v>
      </c>
      <c r="C57" s="29" t="str">
        <f>IF('Inventory Status'!C54="","",'Inventory Status'!C54)</f>
        <v>Meat</v>
      </c>
      <c r="D57" s="41" t="str">
        <f>IF('Inventory Status'!D54="","",'Inventory Status'!D54)</f>
        <v>Bag</v>
      </c>
      <c r="E57" s="29">
        <f>IF('Inventory Status'!G54*_xlfn.XLOOKUP('Expected Demand'!$C$13,Table33[Demand Level],Table33[Multiplier])="","",'Inventory Status'!G54*_xlfn.XLOOKUP('Expected Demand'!$C$13,Table33[Demand Level],Table33[Multiplier]))</f>
        <v>1</v>
      </c>
      <c r="F57" s="32">
        <v>13.11</v>
      </c>
      <c r="G57" s="7">
        <v>2</v>
      </c>
      <c r="H57" s="31">
        <f>IF(refridgeratedorder[[#This Row],[Order Price]]*refridgeratedorder[[#This Row],[Order Quantity]]=0, "",refridgeratedorder[[#This Row],[Order Price]]*refridgeratedorder[[#This Row],[Order Quantity]])</f>
        <v>26.22</v>
      </c>
    </row>
    <row r="58" spans="2:8">
      <c r="B58" s="29" t="str">
        <f>IF('Inventory Status'!B55="","",'Inventory Status'!B55)</f>
        <v>Green Onions</v>
      </c>
      <c r="C58" s="29" t="str">
        <f>IF('Inventory Status'!C55="","",'Inventory Status'!C55)</f>
        <v>Produce</v>
      </c>
      <c r="D58" s="41" t="str">
        <f>IF('Inventory Status'!D55="","",'Inventory Status'!D55)</f>
        <v>Box</v>
      </c>
      <c r="E58" s="29">
        <f>IF('Inventory Status'!G55*_xlfn.XLOOKUP('Expected Demand'!$C$13,Table33[Demand Level],Table33[Multiplier])="","",'Inventory Status'!G55*_xlfn.XLOOKUP('Expected Demand'!$C$13,Table33[Demand Level],Table33[Multiplier]))</f>
        <v>0</v>
      </c>
      <c r="F58" s="32">
        <v>29.19</v>
      </c>
      <c r="G58" s="7">
        <v>0</v>
      </c>
      <c r="H58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59" spans="2:8">
      <c r="B59" s="29" t="str">
        <f>IF('Inventory Status'!B56="","",'Inventory Status'!B56)</f>
        <v>Spring Mix</v>
      </c>
      <c r="C59" s="29" t="str">
        <f>IF('Inventory Status'!C56="","",'Inventory Status'!C56)</f>
        <v>Produce</v>
      </c>
      <c r="D59" s="41" t="str">
        <f>IF('Inventory Status'!D56="","",'Inventory Status'!D56)</f>
        <v>Box</v>
      </c>
      <c r="E59" s="29">
        <f>IF('Inventory Status'!G56*_xlfn.XLOOKUP('Expected Demand'!$C$13,Table33[Demand Level],Table33[Multiplier])="","",'Inventory Status'!G56*_xlfn.XLOOKUP('Expected Demand'!$C$13,Table33[Demand Level],Table33[Multiplier]))</f>
        <v>1</v>
      </c>
      <c r="F59" s="32">
        <v>26.82</v>
      </c>
      <c r="G59" s="7">
        <v>2</v>
      </c>
      <c r="H59" s="31">
        <f>IF(refridgeratedorder[[#This Row],[Order Price]]*refridgeratedorder[[#This Row],[Order Quantity]]=0, "",refridgeratedorder[[#This Row],[Order Price]]*refridgeratedorder[[#This Row],[Order Quantity]])</f>
        <v>53.64</v>
      </c>
    </row>
    <row r="60" spans="2:8">
      <c r="B60" s="29" t="str">
        <f>IF('Inventory Status'!B57="","",'Inventory Status'!B57)</f>
        <v>Yellow Onion</v>
      </c>
      <c r="C60" s="29" t="str">
        <f>IF('Inventory Status'!C57="","",'Inventory Status'!C57)</f>
        <v>Produce</v>
      </c>
      <c r="D60" s="41" t="str">
        <f>IF('Inventory Status'!D57="","",'Inventory Status'!D57)</f>
        <v>Box</v>
      </c>
      <c r="E60" s="29">
        <f>IF('Inventory Status'!G57*_xlfn.XLOOKUP('Expected Demand'!$C$13,Table33[Demand Level],Table33[Multiplier])="","",'Inventory Status'!G57*_xlfn.XLOOKUP('Expected Demand'!$C$13,Table33[Demand Level],Table33[Multiplier]))</f>
        <v>1</v>
      </c>
      <c r="F60" s="32">
        <v>29.13</v>
      </c>
      <c r="G60" s="7">
        <v>2</v>
      </c>
      <c r="H60" s="31">
        <f>IF(refridgeratedorder[[#This Row],[Order Price]]*refridgeratedorder[[#This Row],[Order Quantity]]=0, "",refridgeratedorder[[#This Row],[Order Price]]*refridgeratedorder[[#This Row],[Order Quantity]])</f>
        <v>58.26</v>
      </c>
    </row>
    <row r="61" spans="2:8">
      <c r="B61" s="29" t="str">
        <f>IF('Inventory Status'!B58="","",'Inventory Status'!B58)</f>
        <v>Lettuce</v>
      </c>
      <c r="C61" s="29" t="str">
        <f>IF('Inventory Status'!C58="","",'Inventory Status'!C58)</f>
        <v>Produce</v>
      </c>
      <c r="D61" s="41" t="str">
        <f>IF('Inventory Status'!D58="","",'Inventory Status'!D58)</f>
        <v>Box</v>
      </c>
      <c r="E61" s="29">
        <f>IF('Inventory Status'!G58*_xlfn.XLOOKUP('Expected Demand'!$C$13,Table33[Demand Level],Table33[Multiplier])="","",'Inventory Status'!G58*_xlfn.XLOOKUP('Expected Demand'!$C$13,Table33[Demand Level],Table33[Multiplier]))</f>
        <v>1</v>
      </c>
      <c r="F61" s="32">
        <v>26.59</v>
      </c>
      <c r="G61" s="7">
        <v>2</v>
      </c>
      <c r="H61" s="31">
        <f>IF(refridgeratedorder[[#This Row],[Order Price]]*refridgeratedorder[[#This Row],[Order Quantity]]=0, "",refridgeratedorder[[#This Row],[Order Price]]*refridgeratedorder[[#This Row],[Order Quantity]])</f>
        <v>53.18</v>
      </c>
    </row>
    <row r="62" spans="2:8">
      <c r="B62" s="29" t="str">
        <f>IF('Inventory Status'!B59="","",'Inventory Status'!B59)</f>
        <v>Avocados</v>
      </c>
      <c r="C62" s="29" t="str">
        <f>IF('Inventory Status'!C59="","",'Inventory Status'!C59)</f>
        <v>Produce</v>
      </c>
      <c r="D62" s="41" t="str">
        <f>IF('Inventory Status'!D59="","",'Inventory Status'!D59)</f>
        <v>Box</v>
      </c>
      <c r="E62" s="29">
        <f>IF('Inventory Status'!G59*_xlfn.XLOOKUP('Expected Demand'!$C$13,Table33[Demand Level],Table33[Multiplier])="","",'Inventory Status'!G59*_xlfn.XLOOKUP('Expected Demand'!$C$13,Table33[Demand Level],Table33[Multiplier]))</f>
        <v>0</v>
      </c>
      <c r="F62" s="32">
        <v>43.69</v>
      </c>
      <c r="G62" s="7">
        <v>0</v>
      </c>
      <c r="H62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63" spans="2:8">
      <c r="B63" s="29" t="str">
        <f>IF('Inventory Status'!B60="","",'Inventory Status'!B60)</f>
        <v>Mushrooms</v>
      </c>
      <c r="C63" s="29" t="str">
        <f>IF('Inventory Status'!C60="","",'Inventory Status'!C60)</f>
        <v>Produce</v>
      </c>
      <c r="D63" s="41" t="str">
        <f>IF('Inventory Status'!D60="","",'Inventory Status'!D60)</f>
        <v>Box</v>
      </c>
      <c r="E63" s="29">
        <f>IF('Inventory Status'!G60*_xlfn.XLOOKUP('Expected Demand'!$C$13,Table33[Demand Level],Table33[Multiplier])="","",'Inventory Status'!G60*_xlfn.XLOOKUP('Expected Demand'!$C$13,Table33[Demand Level],Table33[Multiplier]))</f>
        <v>0</v>
      </c>
      <c r="F63" s="32">
        <v>19.04</v>
      </c>
      <c r="G63" s="7">
        <v>0</v>
      </c>
      <c r="H63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64" spans="2:8">
      <c r="B64" s="29" t="str">
        <f>IF('Inventory Status'!B61="","",'Inventory Status'!B61)</f>
        <v>Garlic Cloves</v>
      </c>
      <c r="C64" s="29" t="str">
        <f>IF('Inventory Status'!C61="","",'Inventory Status'!C61)</f>
        <v>Produce</v>
      </c>
      <c r="D64" s="41" t="str">
        <f>IF('Inventory Status'!D61="","",'Inventory Status'!D61)</f>
        <v>Container</v>
      </c>
      <c r="E64" s="29">
        <f>IF('Inventory Status'!G61*_xlfn.XLOOKUP('Expected Demand'!$C$13,Table33[Demand Level],Table33[Multiplier])="","",'Inventory Status'!G61*_xlfn.XLOOKUP('Expected Demand'!$C$13,Table33[Demand Level],Table33[Multiplier]))</f>
        <v>0</v>
      </c>
      <c r="F64" s="32">
        <v>34.56</v>
      </c>
      <c r="G64" s="7">
        <v>0</v>
      </c>
      <c r="H64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65" spans="2:8">
      <c r="B65" s="29" t="str">
        <f>IF('Inventory Status'!B62="","",'Inventory Status'!B62)</f>
        <v>Cilantro</v>
      </c>
      <c r="C65" s="29" t="str">
        <f>IF('Inventory Status'!C62="","",'Inventory Status'!C62)</f>
        <v>Produce</v>
      </c>
      <c r="D65" s="41" t="str">
        <f>IF('Inventory Status'!D62="","",'Inventory Status'!D62)</f>
        <v>Box</v>
      </c>
      <c r="E65" s="29">
        <f>IF('Inventory Status'!G62*_xlfn.XLOOKUP('Expected Demand'!$C$13,Table33[Demand Level],Table33[Multiplier])="","",'Inventory Status'!G62*_xlfn.XLOOKUP('Expected Demand'!$C$13,Table33[Demand Level],Table33[Multiplier]))</f>
        <v>0</v>
      </c>
      <c r="F65" s="32">
        <v>17.89</v>
      </c>
      <c r="G65" s="7">
        <v>0</v>
      </c>
      <c r="H65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66" spans="2:8">
      <c r="B66" s="29" t="str">
        <f>IF('Inventory Status'!B63="","",'Inventory Status'!B63)</f>
        <v>Cucumbers</v>
      </c>
      <c r="C66" s="29" t="str">
        <f>IF('Inventory Status'!C63="","",'Inventory Status'!C63)</f>
        <v>Produce</v>
      </c>
      <c r="D66" s="41" t="str">
        <f>IF('Inventory Status'!D63="","",'Inventory Status'!D63)</f>
        <v>Box</v>
      </c>
      <c r="E66" s="29">
        <f>IF('Inventory Status'!G63*_xlfn.XLOOKUP('Expected Demand'!$C$13,Table33[Demand Level],Table33[Multiplier])="","",'Inventory Status'!G63*_xlfn.XLOOKUP('Expected Demand'!$C$13,Table33[Demand Level],Table33[Multiplier]))</f>
        <v>1</v>
      </c>
      <c r="F66" s="32">
        <v>25.69</v>
      </c>
      <c r="G66" s="7">
        <v>2</v>
      </c>
      <c r="H66" s="31">
        <f>IF(refridgeratedorder[[#This Row],[Order Price]]*refridgeratedorder[[#This Row],[Order Quantity]]=0, "",refridgeratedorder[[#This Row],[Order Price]]*refridgeratedorder[[#This Row],[Order Quantity]])</f>
        <v>51.38</v>
      </c>
    </row>
    <row r="67" spans="2:8">
      <c r="B67" s="29" t="str">
        <f>IF('Inventory Status'!B64="","",'Inventory Status'!B64)</f>
        <v>Tomatos</v>
      </c>
      <c r="C67" s="29" t="str">
        <f>IF('Inventory Status'!C64="","",'Inventory Status'!C64)</f>
        <v>Produce</v>
      </c>
      <c r="D67" s="41" t="str">
        <f>IF('Inventory Status'!D64="","",'Inventory Status'!D64)</f>
        <v>Box</v>
      </c>
      <c r="E67" s="29">
        <f>IF('Inventory Status'!G64*_xlfn.XLOOKUP('Expected Demand'!$C$13,Table33[Demand Level],Table33[Multiplier])="","",'Inventory Status'!G64*_xlfn.XLOOKUP('Expected Demand'!$C$13,Table33[Demand Level],Table33[Multiplier]))</f>
        <v>1</v>
      </c>
      <c r="F67" s="32">
        <v>40.26</v>
      </c>
      <c r="G67" s="7">
        <v>2</v>
      </c>
      <c r="H67" s="31">
        <f>IF(refridgeratedorder[[#This Row],[Order Price]]*refridgeratedorder[[#This Row],[Order Quantity]]=0, "",refridgeratedorder[[#This Row],[Order Price]]*refridgeratedorder[[#This Row],[Order Quantity]])</f>
        <v>80.52</v>
      </c>
    </row>
    <row r="68" spans="2:8">
      <c r="B68" s="29" t="str">
        <f>IF('Inventory Status'!B65="","",'Inventory Status'!B65)</f>
        <v>Pickles</v>
      </c>
      <c r="C68" s="29" t="str">
        <f>IF('Inventory Status'!C65="","",'Inventory Status'!C65)</f>
        <v>Produce</v>
      </c>
      <c r="D68" s="41" t="str">
        <f>IF('Inventory Status'!D65="","",'Inventory Status'!D65)</f>
        <v>Container</v>
      </c>
      <c r="E68" s="29">
        <f>IF('Inventory Status'!G65*_xlfn.XLOOKUP('Expected Demand'!$C$13,Table33[Demand Level],Table33[Multiplier])="","",'Inventory Status'!G65*_xlfn.XLOOKUP('Expected Demand'!$C$13,Table33[Demand Level],Table33[Multiplier]))</f>
        <v>1</v>
      </c>
      <c r="F68" s="32">
        <v>6.98</v>
      </c>
      <c r="G68" s="7">
        <v>2</v>
      </c>
      <c r="H68" s="31">
        <f>IF(refridgeratedorder[[#This Row],[Order Price]]*refridgeratedorder[[#This Row],[Order Quantity]]=0, "",refridgeratedorder[[#This Row],[Order Price]]*refridgeratedorder[[#This Row],[Order Quantity]])</f>
        <v>13.96</v>
      </c>
    </row>
    <row r="69" spans="2:8">
      <c r="B69" s="29" t="str">
        <f>IF('Inventory Status'!B66="","",'Inventory Status'!B66)</f>
        <v>Coleslaw Mix</v>
      </c>
      <c r="C69" s="29" t="str">
        <f>IF('Inventory Status'!C66="","",'Inventory Status'!C66)</f>
        <v>Produce</v>
      </c>
      <c r="D69" s="41" t="str">
        <f>IF('Inventory Status'!D66="","",'Inventory Status'!D66)</f>
        <v>Bag</v>
      </c>
      <c r="E69" s="29">
        <f>IF('Inventory Status'!G66*_xlfn.XLOOKUP('Expected Demand'!$C$13,Table33[Demand Level],Table33[Multiplier])="","",'Inventory Status'!G66*_xlfn.XLOOKUP('Expected Demand'!$C$13,Table33[Demand Level],Table33[Multiplier]))</f>
        <v>1</v>
      </c>
      <c r="F69" s="32">
        <v>13.16</v>
      </c>
      <c r="G69" s="7">
        <v>2</v>
      </c>
      <c r="H69" s="31">
        <f>IF(refridgeratedorder[[#This Row],[Order Price]]*refridgeratedorder[[#This Row],[Order Quantity]]=0, "",refridgeratedorder[[#This Row],[Order Price]]*refridgeratedorder[[#This Row],[Order Quantity]])</f>
        <v>26.32</v>
      </c>
    </row>
    <row r="70" spans="2:8">
      <c r="B70" s="29" t="str">
        <f>IF('Inventory Status'!B67="","",'Inventory Status'!B67)</f>
        <v>Jalapeños</v>
      </c>
      <c r="C70" s="29" t="str">
        <f>IF('Inventory Status'!C67="","",'Inventory Status'!C67)</f>
        <v>Produce</v>
      </c>
      <c r="D70" s="41" t="str">
        <f>IF('Inventory Status'!D67="","",'Inventory Status'!D67)</f>
        <v>Box</v>
      </c>
      <c r="E70" s="29">
        <f>IF('Inventory Status'!G67*_xlfn.XLOOKUP('Expected Demand'!$C$13,Table33[Demand Level],Table33[Multiplier])="","",'Inventory Status'!G67*_xlfn.XLOOKUP('Expected Demand'!$C$13,Table33[Demand Level],Table33[Multiplier]))</f>
        <v>0</v>
      </c>
      <c r="F70" s="32">
        <v>15.29</v>
      </c>
      <c r="G70" s="7">
        <v>0</v>
      </c>
      <c r="H70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71" spans="2:8">
      <c r="B71" s="29" t="str">
        <f>IF('Inventory Status'!B68="","",'Inventory Status'!B68)</f>
        <v>Red Onion</v>
      </c>
      <c r="C71" s="29" t="str">
        <f>IF('Inventory Status'!C68="","",'Inventory Status'!C68)</f>
        <v>Produce</v>
      </c>
      <c r="D71" s="41" t="str">
        <f>IF('Inventory Status'!D68="","",'Inventory Status'!D68)</f>
        <v>Box</v>
      </c>
      <c r="E71" s="29">
        <f>IF('Inventory Status'!G68*_xlfn.XLOOKUP('Expected Demand'!$C$13,Table33[Demand Level],Table33[Multiplier])="","",'Inventory Status'!G68*_xlfn.XLOOKUP('Expected Demand'!$C$13,Table33[Demand Level],Table33[Multiplier]))</f>
        <v>0</v>
      </c>
      <c r="F71" s="32">
        <v>38.46</v>
      </c>
      <c r="G71" s="7">
        <v>0</v>
      </c>
      <c r="H71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72" spans="2:8">
      <c r="B72" s="29" t="str">
        <f>IF('Inventory Status'!B69="","",'Inventory Status'!B69)</f>
        <v>Ranch</v>
      </c>
      <c r="C72" s="29" t="str">
        <f>IF('Inventory Status'!C69="","",'Inventory Status'!C69)</f>
        <v>Sauce</v>
      </c>
      <c r="D72" s="41" t="str">
        <f>IF('Inventory Status'!D69="","",'Inventory Status'!D69)</f>
        <v>Container</v>
      </c>
      <c r="E72" s="29">
        <f>IF('Inventory Status'!G69*_xlfn.XLOOKUP('Expected Demand'!$C$13,Table33[Demand Level],Table33[Multiplier])="","",'Inventory Status'!G69*_xlfn.XLOOKUP('Expected Demand'!$C$13,Table33[Demand Level],Table33[Multiplier]))</f>
        <v>1</v>
      </c>
      <c r="F72" s="32">
        <v>41.52</v>
      </c>
      <c r="G72" s="7">
        <v>2</v>
      </c>
      <c r="H72" s="31">
        <f>IF(refridgeratedorder[[#This Row],[Order Price]]*refridgeratedorder[[#This Row],[Order Quantity]]=0, "",refridgeratedorder[[#This Row],[Order Price]]*refridgeratedorder[[#This Row],[Order Quantity]])</f>
        <v>83.04</v>
      </c>
    </row>
    <row r="73" spans="2:8">
      <c r="B73" s="29" t="str">
        <f>IF('Inventory Status'!B70="","",'Inventory Status'!B70)</f>
        <v>Pesto</v>
      </c>
      <c r="C73" s="29" t="str">
        <f>IF('Inventory Status'!C70="","",'Inventory Status'!C70)</f>
        <v>Sauce</v>
      </c>
      <c r="D73" s="41" t="str">
        <f>IF('Inventory Status'!D70="","",'Inventory Status'!D70)</f>
        <v>Container</v>
      </c>
      <c r="E73" s="29">
        <f>IF('Inventory Status'!G70*_xlfn.XLOOKUP('Expected Demand'!$C$13,Table33[Demand Level],Table33[Multiplier])="","",'Inventory Status'!G70*_xlfn.XLOOKUP('Expected Demand'!$C$13,Table33[Demand Level],Table33[Multiplier]))</f>
        <v>0</v>
      </c>
      <c r="F73" s="32">
        <v>83.34</v>
      </c>
      <c r="G73" s="7">
        <v>0</v>
      </c>
      <c r="H73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74" spans="2:8">
      <c r="B74" s="29" t="str">
        <f>IF('Inventory Status'!B71="","",'Inventory Status'!B71)</f>
        <v/>
      </c>
      <c r="C74" s="29" t="str">
        <f>IF('Inventory Status'!C71="","",'Inventory Status'!C71)</f>
        <v/>
      </c>
      <c r="D74" s="41" t="str">
        <f>IF('Inventory Status'!D71="","",'Inventory Status'!D71)</f>
        <v/>
      </c>
      <c r="E74" s="29"/>
      <c r="F74" s="32"/>
      <c r="G74" s="7"/>
      <c r="H74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75" spans="2:8" ht="16" customHeight="1">
      <c r="B75" s="29" t="str">
        <f>IF('Inventory Status'!B72="","",'Inventory Status'!B72)</f>
        <v/>
      </c>
      <c r="C75" s="29" t="str">
        <f>IF('Inventory Status'!C72="","",'Inventory Status'!C72)</f>
        <v/>
      </c>
      <c r="D75" s="41" t="str">
        <f>IF('Inventory Status'!D72="","",'Inventory Status'!D72)</f>
        <v/>
      </c>
      <c r="E75" s="29"/>
      <c r="F75" s="32"/>
      <c r="G75" s="7"/>
      <c r="H75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76" spans="2:8" ht="16" customHeight="1">
      <c r="B76" s="29" t="str">
        <f>IF('Inventory Status'!B73="","",'Inventory Status'!B73)</f>
        <v/>
      </c>
      <c r="C76" s="29" t="str">
        <f>IF('Inventory Status'!C73="","",'Inventory Status'!C73)</f>
        <v/>
      </c>
      <c r="D76" s="41" t="str">
        <f>IF('Inventory Status'!D73="","",'Inventory Status'!D73)</f>
        <v/>
      </c>
      <c r="E76" s="29"/>
      <c r="F76" s="32"/>
      <c r="G76" s="7"/>
      <c r="H76" s="31" t="str">
        <f>IF(refridgeratedorder[[#This Row],[Order Price]]*refridgeratedorder[[#This Row],[Order Quantity]]=0, "",refridgeratedorder[[#This Row],[Order Price]]*refridgeratedorder[[#This Row],[Order Quantity]])</f>
        <v/>
      </c>
    </row>
    <row r="77" spans="2:8" ht="20" customHeight="1">
      <c r="G77" s="155" t="s">
        <v>179</v>
      </c>
      <c r="H77" s="143">
        <f>SUM(refridgeratedorder[Line Price])</f>
        <v>2106.88</v>
      </c>
    </row>
    <row r="78" spans="2:8" ht="16" customHeight="1">
      <c r="G78" s="155"/>
      <c r="H78" s="143"/>
    </row>
    <row r="79" spans="2:8" ht="20" customHeight="1">
      <c r="G79" s="33"/>
      <c r="H79" s="34"/>
    </row>
    <row r="80" spans="2:8" ht="29">
      <c r="B80" s="153" t="s">
        <v>12</v>
      </c>
      <c r="C80" s="153"/>
      <c r="D80" s="153"/>
      <c r="E80" s="153"/>
      <c r="F80" s="153"/>
      <c r="G80" s="153"/>
      <c r="H80" s="153"/>
    </row>
    <row r="81" spans="2:8">
      <c r="B81" s="27" t="s">
        <v>173</v>
      </c>
      <c r="C81" s="26" t="s">
        <v>1</v>
      </c>
      <c r="D81" s="27" t="s">
        <v>26</v>
      </c>
      <c r="E81" s="27" t="s">
        <v>178</v>
      </c>
      <c r="F81" s="27" t="s">
        <v>184</v>
      </c>
      <c r="G81" s="27" t="s">
        <v>175</v>
      </c>
      <c r="H81" s="27" t="s">
        <v>174</v>
      </c>
    </row>
    <row r="82" spans="2:8">
      <c r="B82" s="8" t="str">
        <f>IF('Inventory Status'!B77="","",'Inventory Status'!B77)</f>
        <v>Griddle Pads</v>
      </c>
      <c r="C82" s="8" t="str">
        <f>IF('Inventory Status'!C77="","",'Inventory Status'!C77)</f>
        <v>Cleaning</v>
      </c>
      <c r="D82" s="8" t="str">
        <f>IF('Inventory Status'!D77="","",'Inventory Status'!D77)</f>
        <v>Pad</v>
      </c>
      <c r="E82" s="8">
        <f>IF('Inventory Status'!G77*_xlfn.XLOOKUP('Expected Demand'!$C$13,Table33[Demand Level],Table33[Multiplier])="","",'Inventory Status'!G77*_xlfn.XLOOKUP('Expected Demand'!$C$13,Table33[Demand Level],Table33[Multiplier]))</f>
        <v>0</v>
      </c>
      <c r="F82" s="32">
        <v>32.909999999999997</v>
      </c>
      <c r="G82" s="7">
        <v>0</v>
      </c>
      <c r="H82" s="35" t="str">
        <f>IF(dryorder[[#This Row],[Order Price]]*dryorder[[#This Row],[Order Quantity]]=0, "",dryorder[[#This Row],[Order Price]]*dryorder[[#This Row],[Order Quantity]])</f>
        <v/>
      </c>
    </row>
    <row r="83" spans="2:8">
      <c r="B83" s="8" t="str">
        <f>IF('Inventory Status'!B78="","",'Inventory Status'!B78)</f>
        <v>Floor Cleaner</v>
      </c>
      <c r="C83" s="8" t="str">
        <f>IF('Inventory Status'!C78="","",'Inventory Status'!C78)</f>
        <v>Cleaning</v>
      </c>
      <c r="D83" s="8" t="str">
        <f>IF('Inventory Status'!D78="","",'Inventory Status'!D78)</f>
        <v>Bottle</v>
      </c>
      <c r="E83" s="8">
        <f>IF('Inventory Status'!G78*_xlfn.XLOOKUP('Expected Demand'!$C$13,Table33[Demand Level],Table33[Multiplier])="","",'Inventory Status'!G78*_xlfn.XLOOKUP('Expected Demand'!$C$13,Table33[Demand Level],Table33[Multiplier]))</f>
        <v>0</v>
      </c>
      <c r="F83" s="32">
        <v>31.45</v>
      </c>
      <c r="G83" s="7">
        <v>0</v>
      </c>
      <c r="H83" s="35" t="str">
        <f>IF(dryorder[[#This Row],[Order Price]]*dryorder[[#This Row],[Order Quantity]]=0, "",dryorder[[#This Row],[Order Price]]*dryorder[[#This Row],[Order Quantity]])</f>
        <v/>
      </c>
    </row>
    <row r="84" spans="2:8">
      <c r="B84" s="8" t="str">
        <f>IF('Inventory Status'!B79="","",'Inventory Status'!B79)</f>
        <v>Windex</v>
      </c>
      <c r="C84" s="8" t="str">
        <f>IF('Inventory Status'!C79="","",'Inventory Status'!C79)</f>
        <v>Cleaning</v>
      </c>
      <c r="D84" s="8" t="str">
        <f>IF('Inventory Status'!D79="","",'Inventory Status'!D79)</f>
        <v>Bottle</v>
      </c>
      <c r="E84" s="8">
        <f>IF('Inventory Status'!G79*_xlfn.XLOOKUP('Expected Demand'!$C$13,Table33[Demand Level],Table33[Multiplier])="","",'Inventory Status'!G79*_xlfn.XLOOKUP('Expected Demand'!$C$13,Table33[Demand Level],Table33[Multiplier]))</f>
        <v>0</v>
      </c>
      <c r="F84" s="32">
        <v>31.54</v>
      </c>
      <c r="G84" s="7">
        <v>0</v>
      </c>
      <c r="H84" s="35" t="str">
        <f>IF(dryorder[[#This Row],[Order Price]]*dryorder[[#This Row],[Order Quantity]]=0, "",dryorder[[#This Row],[Order Price]]*dryorder[[#This Row],[Order Quantity]])</f>
        <v/>
      </c>
    </row>
    <row r="85" spans="2:8">
      <c r="B85" s="8" t="str">
        <f>IF('Inventory Status'!B80="","",'Inventory Status'!B80)</f>
        <v>Degreaser</v>
      </c>
      <c r="C85" s="8" t="str">
        <f>IF('Inventory Status'!C80="","",'Inventory Status'!C80)</f>
        <v>Cleaning</v>
      </c>
      <c r="D85" s="8" t="str">
        <f>IF('Inventory Status'!D80="","",'Inventory Status'!D80)</f>
        <v>Bottle</v>
      </c>
      <c r="E85" s="8">
        <f>IF('Inventory Status'!G80*_xlfn.XLOOKUP('Expected Demand'!$C$13,Table33[Demand Level],Table33[Multiplier])="","",'Inventory Status'!G80*_xlfn.XLOOKUP('Expected Demand'!$C$13,Table33[Demand Level],Table33[Multiplier]))</f>
        <v>0</v>
      </c>
      <c r="F85" s="32">
        <v>23.7</v>
      </c>
      <c r="G85" s="7">
        <v>0</v>
      </c>
      <c r="H85" s="35" t="str">
        <f>IF(dryorder[[#This Row],[Order Price]]*dryorder[[#This Row],[Order Quantity]]=0, "",dryorder[[#This Row],[Order Price]]*dryorder[[#This Row],[Order Quantity]])</f>
        <v/>
      </c>
    </row>
    <row r="86" spans="2:8">
      <c r="B86" s="8" t="str">
        <f>IF('Inventory Status'!B81="","",'Inventory Status'!B81)</f>
        <v>Bleach</v>
      </c>
      <c r="C86" s="8" t="str">
        <f>IF('Inventory Status'!C81="","",'Inventory Status'!C81)</f>
        <v>Cleaning</v>
      </c>
      <c r="D86" s="8" t="str">
        <f>IF('Inventory Status'!D81="","",'Inventory Status'!D81)</f>
        <v>Container</v>
      </c>
      <c r="E86" s="8">
        <f>IF('Inventory Status'!G81*_xlfn.XLOOKUP('Expected Demand'!$C$13,Table33[Demand Level],Table33[Multiplier])="","",'Inventory Status'!G81*_xlfn.XLOOKUP('Expected Demand'!$C$13,Table33[Demand Level],Table33[Multiplier]))</f>
        <v>1</v>
      </c>
      <c r="F86" s="32">
        <v>25.63</v>
      </c>
      <c r="G86" s="7">
        <v>2</v>
      </c>
      <c r="H86" s="35">
        <f>IF(dryorder[[#This Row],[Order Price]]*dryorder[[#This Row],[Order Quantity]]=0, "",dryorder[[#This Row],[Order Price]]*dryorder[[#This Row],[Order Quantity]])</f>
        <v>51.26</v>
      </c>
    </row>
    <row r="87" spans="2:8">
      <c r="B87" s="8" t="str">
        <f>IF('Inventory Status'!B82="","",'Inventory Status'!B82)</f>
        <v>Griddle Screens</v>
      </c>
      <c r="C87" s="8" t="str">
        <f>IF('Inventory Status'!C82="","",'Inventory Status'!C82)</f>
        <v>Cleaning</v>
      </c>
      <c r="D87" s="8" t="str">
        <f>IF('Inventory Status'!D82="","",'Inventory Status'!D82)</f>
        <v>Bag</v>
      </c>
      <c r="E87" s="8">
        <f>IF('Inventory Status'!G82*_xlfn.XLOOKUP('Expected Demand'!$C$13,Table33[Demand Level],Table33[Multiplier])="","",'Inventory Status'!G82*_xlfn.XLOOKUP('Expected Demand'!$C$13,Table33[Demand Level],Table33[Multiplier]))</f>
        <v>0</v>
      </c>
      <c r="F87" s="32">
        <v>22.31</v>
      </c>
      <c r="G87" s="7">
        <v>0</v>
      </c>
      <c r="H87" s="35" t="str">
        <f>IF(dryorder[[#This Row],[Order Price]]*dryorder[[#This Row],[Order Quantity]]=0, "",dryorder[[#This Row],[Order Price]]*dryorder[[#This Row],[Order Quantity]])</f>
        <v/>
      </c>
    </row>
    <row r="88" spans="2:8">
      <c r="B88" s="8" t="str">
        <f>IF('Inventory Status'!B83="","",'Inventory Status'!B83)</f>
        <v>Dawn Dish Soap</v>
      </c>
      <c r="C88" s="8" t="str">
        <f>IF('Inventory Status'!C83="","",'Inventory Status'!C83)</f>
        <v>Cleaning</v>
      </c>
      <c r="D88" s="8" t="str">
        <f>IF('Inventory Status'!D83="","",'Inventory Status'!D83)</f>
        <v>Container</v>
      </c>
      <c r="E88" s="8">
        <f>IF('Inventory Status'!G83*_xlfn.XLOOKUP('Expected Demand'!$C$13,Table33[Demand Level],Table33[Multiplier])="","",'Inventory Status'!G83*_xlfn.XLOOKUP('Expected Demand'!$C$13,Table33[Demand Level],Table33[Multiplier]))</f>
        <v>0</v>
      </c>
      <c r="F88" s="32">
        <v>42.87</v>
      </c>
      <c r="G88" s="7">
        <v>0</v>
      </c>
      <c r="H88" s="35" t="str">
        <f>IF(dryorder[[#This Row],[Order Price]]*dryorder[[#This Row],[Order Quantity]]=0, "",dryorder[[#This Row],[Order Price]]*dryorder[[#This Row],[Order Quantity]])</f>
        <v/>
      </c>
    </row>
    <row r="89" spans="2:8">
      <c r="B89" s="8" t="str">
        <f>IF('Inventory Status'!B84="","",'Inventory Status'!B84)</f>
        <v>Grill Cleaner</v>
      </c>
      <c r="C89" s="8" t="str">
        <f>IF('Inventory Status'!C84="","",'Inventory Status'!C84)</f>
        <v>Cleaning</v>
      </c>
      <c r="D89" s="8" t="str">
        <f>IF('Inventory Status'!D84="","",'Inventory Status'!D84)</f>
        <v>Bottle</v>
      </c>
      <c r="E89" s="8">
        <f>IF('Inventory Status'!G84*_xlfn.XLOOKUP('Expected Demand'!$C$13,Table33[Demand Level],Table33[Multiplier])="","",'Inventory Status'!G84*_xlfn.XLOOKUP('Expected Demand'!$C$13,Table33[Demand Level],Table33[Multiplier]))</f>
        <v>1</v>
      </c>
      <c r="F89" s="32">
        <v>30.73</v>
      </c>
      <c r="G89" s="7">
        <v>2</v>
      </c>
      <c r="H89" s="35">
        <f>IF(dryorder[[#This Row],[Order Price]]*dryorder[[#This Row],[Order Quantity]]=0, "",dryorder[[#This Row],[Order Price]]*dryorder[[#This Row],[Order Quantity]])</f>
        <v>61.46</v>
      </c>
    </row>
    <row r="90" spans="2:8">
      <c r="B90" s="8" t="str">
        <f>IF('Inventory Status'!B85="","",'Inventory Status'!B85)</f>
        <v>Steel Wool</v>
      </c>
      <c r="C90" s="8" t="str">
        <f>IF('Inventory Status'!C85="","",'Inventory Status'!C85)</f>
        <v>Cleaning</v>
      </c>
      <c r="D90" s="8" t="str">
        <f>IF('Inventory Status'!D85="","",'Inventory Status'!D85)</f>
        <v>Bag</v>
      </c>
      <c r="E90" s="8">
        <f>IF('Inventory Status'!G85*_xlfn.XLOOKUP('Expected Demand'!$C$13,Table33[Demand Level],Table33[Multiplier])="","",'Inventory Status'!G85*_xlfn.XLOOKUP('Expected Demand'!$C$13,Table33[Demand Level],Table33[Multiplier]))</f>
        <v>2</v>
      </c>
      <c r="F90" s="32">
        <v>31.21</v>
      </c>
      <c r="G90" s="7">
        <v>3</v>
      </c>
      <c r="H90" s="35">
        <f>IF(dryorder[[#This Row],[Order Price]]*dryorder[[#This Row],[Order Quantity]]=0, "",dryorder[[#This Row],[Order Price]]*dryorder[[#This Row],[Order Quantity]])</f>
        <v>93.63</v>
      </c>
    </row>
    <row r="91" spans="2:8">
      <c r="B91" s="8" t="str">
        <f>IF('Inventory Status'!B86="","",'Inventory Status'!B86)</f>
        <v>Hand Soap Refill</v>
      </c>
      <c r="C91" s="8" t="str">
        <f>IF('Inventory Status'!C86="","",'Inventory Status'!C86)</f>
        <v>Cleaning</v>
      </c>
      <c r="D91" s="8" t="str">
        <f>IF('Inventory Status'!D86="","",'Inventory Status'!D86)</f>
        <v>Container</v>
      </c>
      <c r="E91" s="8">
        <f>IF('Inventory Status'!G86*_xlfn.XLOOKUP('Expected Demand'!$C$13,Table33[Demand Level],Table33[Multiplier])="","",'Inventory Status'!G86*_xlfn.XLOOKUP('Expected Demand'!$C$13,Table33[Demand Level],Table33[Multiplier]))</f>
        <v>0</v>
      </c>
      <c r="F91" s="32">
        <v>32.15</v>
      </c>
      <c r="G91" s="7">
        <v>0</v>
      </c>
      <c r="H91" s="35" t="str">
        <f>IF(dryorder[[#This Row],[Order Price]]*dryorder[[#This Row],[Order Quantity]]=0, "",dryorder[[#This Row],[Order Price]]*dryorder[[#This Row],[Order Quantity]])</f>
        <v/>
      </c>
    </row>
    <row r="92" spans="2:8">
      <c r="B92" s="8" t="str">
        <f>IF('Inventory Status'!B87="","",'Inventory Status'!B87)</f>
        <v>Olive Oil</v>
      </c>
      <c r="C92" s="8" t="str">
        <f>IF('Inventory Status'!C87="","",'Inventory Status'!C87)</f>
        <v>Cooking</v>
      </c>
      <c r="D92" s="8" t="str">
        <f>IF('Inventory Status'!D87="","",'Inventory Status'!D87)</f>
        <v>Container</v>
      </c>
      <c r="E92" s="8">
        <f>IF('Inventory Status'!G87*_xlfn.XLOOKUP('Expected Demand'!$C$13,Table33[Demand Level],Table33[Multiplier])="","",'Inventory Status'!G87*_xlfn.XLOOKUP('Expected Demand'!$C$13,Table33[Demand Level],Table33[Multiplier]))</f>
        <v>0</v>
      </c>
      <c r="F92" s="32">
        <v>53.51</v>
      </c>
      <c r="G92" s="7">
        <v>0</v>
      </c>
      <c r="H92" s="35" t="str">
        <f>IF(dryorder[[#This Row],[Order Price]]*dryorder[[#This Row],[Order Quantity]]=0, "",dryorder[[#This Row],[Order Price]]*dryorder[[#This Row],[Order Quantity]])</f>
        <v/>
      </c>
    </row>
    <row r="93" spans="2:8">
      <c r="B93" s="8" t="str">
        <f>IF('Inventory Status'!B88="","",'Inventory Status'!B88)</f>
        <v>Apple Juice</v>
      </c>
      <c r="C93" s="8" t="str">
        <f>IF('Inventory Status'!C88="","",'Inventory Status'!C88)</f>
        <v>Drink</v>
      </c>
      <c r="D93" s="8" t="str">
        <f>IF('Inventory Status'!D88="","",'Inventory Status'!D88)</f>
        <v>Bottle</v>
      </c>
      <c r="E93" s="8">
        <f>IF('Inventory Status'!G88*_xlfn.XLOOKUP('Expected Demand'!$C$13,Table33[Demand Level],Table33[Multiplier])="","",'Inventory Status'!G88*_xlfn.XLOOKUP('Expected Demand'!$C$13,Table33[Demand Level],Table33[Multiplier]))</f>
        <v>2</v>
      </c>
      <c r="F93" s="32">
        <v>29.08</v>
      </c>
      <c r="G93" s="7">
        <v>3</v>
      </c>
      <c r="H93" s="35">
        <f>IF(dryorder[[#This Row],[Order Price]]*dryorder[[#This Row],[Order Quantity]]=0, "",dryorder[[#This Row],[Order Price]]*dryorder[[#This Row],[Order Quantity]])</f>
        <v>87.24</v>
      </c>
    </row>
    <row r="94" spans="2:8">
      <c r="B94" s="8" t="str">
        <f>IF('Inventory Status'!B89="","",'Inventory Status'!B89)</f>
        <v>Diet Coke</v>
      </c>
      <c r="C94" s="8" t="str">
        <f>IF('Inventory Status'!C89="","",'Inventory Status'!C89)</f>
        <v>Drink</v>
      </c>
      <c r="D94" s="8" t="str">
        <f>IF('Inventory Status'!D89="","",'Inventory Status'!D89)</f>
        <v>Bottle</v>
      </c>
      <c r="E94" s="8">
        <f>IF('Inventory Status'!G89*_xlfn.XLOOKUP('Expected Demand'!$C$13,Table33[Demand Level],Table33[Multiplier])="","",'Inventory Status'!G89*_xlfn.XLOOKUP('Expected Demand'!$C$13,Table33[Demand Level],Table33[Multiplier]))</f>
        <v>3</v>
      </c>
      <c r="F94" s="32">
        <v>29.87</v>
      </c>
      <c r="G94" s="7">
        <v>5</v>
      </c>
      <c r="H94" s="35">
        <f>IF(dryorder[[#This Row],[Order Price]]*dryorder[[#This Row],[Order Quantity]]=0, "",dryorder[[#This Row],[Order Price]]*dryorder[[#This Row],[Order Quantity]])</f>
        <v>149.35</v>
      </c>
    </row>
    <row r="95" spans="2:8">
      <c r="B95" s="8" t="str">
        <f>IF('Inventory Status'!B90="","",'Inventory Status'!B90)</f>
        <v>Tea Bags</v>
      </c>
      <c r="C95" s="8" t="str">
        <f>IF('Inventory Status'!C90="","",'Inventory Status'!C90)</f>
        <v>Drink</v>
      </c>
      <c r="D95" s="8" t="str">
        <f>IF('Inventory Status'!D90="","",'Inventory Status'!D90)</f>
        <v>Box</v>
      </c>
      <c r="E95" s="8">
        <f>IF('Inventory Status'!G90*_xlfn.XLOOKUP('Expected Demand'!$C$13,Table33[Demand Level],Table33[Multiplier])="","",'Inventory Status'!G90*_xlfn.XLOOKUP('Expected Demand'!$C$13,Table33[Demand Level],Table33[Multiplier]))</f>
        <v>0</v>
      </c>
      <c r="F95" s="32">
        <v>31.41</v>
      </c>
      <c r="G95" s="7">
        <v>0</v>
      </c>
      <c r="H95" s="35" t="str">
        <f>IF(dryorder[[#This Row],[Order Price]]*dryorder[[#This Row],[Order Quantity]]=0, "",dryorder[[#This Row],[Order Price]]*dryorder[[#This Row],[Order Quantity]])</f>
        <v/>
      </c>
    </row>
    <row r="96" spans="2:8">
      <c r="B96" s="8" t="str">
        <f>IF('Inventory Status'!B91="","",'Inventory Status'!B91)</f>
        <v>Orange Juice</v>
      </c>
      <c r="C96" s="8" t="str">
        <f>IF('Inventory Status'!C91="","",'Inventory Status'!C91)</f>
        <v>Drink</v>
      </c>
      <c r="D96" s="8" t="str">
        <f>IF('Inventory Status'!D91="","",'Inventory Status'!D91)</f>
        <v>Bottle</v>
      </c>
      <c r="E96" s="8">
        <f>IF('Inventory Status'!G91*_xlfn.XLOOKUP('Expected Demand'!$C$13,Table33[Demand Level],Table33[Multiplier])="","",'Inventory Status'!G91*_xlfn.XLOOKUP('Expected Demand'!$C$13,Table33[Demand Level],Table33[Multiplier]))</f>
        <v>11</v>
      </c>
      <c r="F96" s="32">
        <v>38.340000000000003</v>
      </c>
      <c r="G96" s="7">
        <v>2</v>
      </c>
      <c r="H96" s="35">
        <f>IF(dryorder[[#This Row],[Order Price]]*dryorder[[#This Row],[Order Quantity]]=0, "",dryorder[[#This Row],[Order Price]]*dryorder[[#This Row],[Order Quantity]])</f>
        <v>76.680000000000007</v>
      </c>
    </row>
    <row r="97" spans="2:8">
      <c r="B97" s="8" t="str">
        <f>IF('Inventory Status'!B92="","",'Inventory Status'!B92)</f>
        <v>Flour</v>
      </c>
      <c r="C97" s="8" t="str">
        <f>IF('Inventory Status'!C92="","",'Inventory Status'!C92)</f>
        <v>Ingredient</v>
      </c>
      <c r="D97" s="8" t="str">
        <f>IF('Inventory Status'!D92="","",'Inventory Status'!D92)</f>
        <v>Bag</v>
      </c>
      <c r="E97" s="8">
        <f>IF('Inventory Status'!G92*_xlfn.XLOOKUP('Expected Demand'!$C$13,Table33[Demand Level],Table33[Multiplier])="","",'Inventory Status'!G92*_xlfn.XLOOKUP('Expected Demand'!$C$13,Table33[Demand Level],Table33[Multiplier]))</f>
        <v>0</v>
      </c>
      <c r="F97" s="32">
        <v>20.100000000000001</v>
      </c>
      <c r="G97" s="7">
        <v>0</v>
      </c>
      <c r="H97" s="35" t="str">
        <f>IF(dryorder[[#This Row],[Order Price]]*dryorder[[#This Row],[Order Quantity]]=0, "",dryorder[[#This Row],[Order Price]]*dryorder[[#This Row],[Order Quantity]])</f>
        <v/>
      </c>
    </row>
    <row r="98" spans="2:8">
      <c r="B98" s="8" t="str">
        <f>IF('Inventory Status'!B93="","",'Inventory Status'!B93)</f>
        <v>Sugar</v>
      </c>
      <c r="C98" s="8" t="str">
        <f>IF('Inventory Status'!C93="","",'Inventory Status'!C93)</f>
        <v>Ingredient</v>
      </c>
      <c r="D98" s="8" t="str">
        <f>IF('Inventory Status'!D93="","",'Inventory Status'!D93)</f>
        <v>Bag</v>
      </c>
      <c r="E98" s="8">
        <f>IF('Inventory Status'!G93*_xlfn.XLOOKUP('Expected Demand'!$C$13,Table33[Demand Level],Table33[Multiplier])="","",'Inventory Status'!G93*_xlfn.XLOOKUP('Expected Demand'!$C$13,Table33[Demand Level],Table33[Multiplier]))</f>
        <v>0</v>
      </c>
      <c r="F98" s="32">
        <v>46.8</v>
      </c>
      <c r="G98" s="7">
        <v>0</v>
      </c>
      <c r="H98" s="35" t="str">
        <f>IF(dryorder[[#This Row],[Order Price]]*dryorder[[#This Row],[Order Quantity]]=0, "",dryorder[[#This Row],[Order Price]]*dryorder[[#This Row],[Order Quantity]])</f>
        <v/>
      </c>
    </row>
    <row r="99" spans="2:8">
      <c r="B99" s="8" t="str">
        <f>IF('Inventory Status'!B94="","",'Inventory Status'!B94)</f>
        <v>Brown Sugar</v>
      </c>
      <c r="C99" s="8" t="str">
        <f>IF('Inventory Status'!C94="","",'Inventory Status'!C94)</f>
        <v>Ingredient</v>
      </c>
      <c r="D99" s="8" t="str">
        <f>IF('Inventory Status'!D94="","",'Inventory Status'!D94)</f>
        <v>Bag</v>
      </c>
      <c r="E99" s="8">
        <f>IF('Inventory Status'!G94*_xlfn.XLOOKUP('Expected Demand'!$C$13,Table33[Demand Level],Table33[Multiplier])="","",'Inventory Status'!G94*_xlfn.XLOOKUP('Expected Demand'!$C$13,Table33[Demand Level],Table33[Multiplier]))</f>
        <v>0.5</v>
      </c>
      <c r="F99" s="32">
        <v>55.32</v>
      </c>
      <c r="G99" s="7">
        <v>1</v>
      </c>
      <c r="H99" s="35">
        <f>IF(dryorder[[#This Row],[Order Price]]*dryorder[[#This Row],[Order Quantity]]=0, "",dryorder[[#This Row],[Order Price]]*dryorder[[#This Row],[Order Quantity]])</f>
        <v>55.32</v>
      </c>
    </row>
    <row r="100" spans="2:8">
      <c r="B100" s="8" t="str">
        <f>IF('Inventory Status'!B95="","",'Inventory Status'!B95)</f>
        <v>Croutons</v>
      </c>
      <c r="C100" s="8" t="str">
        <f>IF('Inventory Status'!C95="","",'Inventory Status'!C95)</f>
        <v>Ingredient</v>
      </c>
      <c r="D100" s="8" t="str">
        <f>IF('Inventory Status'!D95="","",'Inventory Status'!D95)</f>
        <v>Bag</v>
      </c>
      <c r="E100" s="8">
        <f>IF('Inventory Status'!G95*_xlfn.XLOOKUP('Expected Demand'!$C$13,Table33[Demand Level],Table33[Multiplier])="","",'Inventory Status'!G95*_xlfn.XLOOKUP('Expected Demand'!$C$13,Table33[Demand Level],Table33[Multiplier]))</f>
        <v>0</v>
      </c>
      <c r="F100" s="32">
        <v>28.09</v>
      </c>
      <c r="G100" s="7">
        <v>0</v>
      </c>
      <c r="H100" s="35" t="str">
        <f>IF(dryorder[[#This Row],[Order Price]]*dryorder[[#This Row],[Order Quantity]]=0, "",dryorder[[#This Row],[Order Price]]*dryorder[[#This Row],[Order Quantity]])</f>
        <v/>
      </c>
    </row>
    <row r="101" spans="2:8">
      <c r="B101" s="8" t="str">
        <f>IF('Inventory Status'!B96="","",'Inventory Status'!B96)</f>
        <v>Crumbled Oreos</v>
      </c>
      <c r="C101" s="8" t="str">
        <f>IF('Inventory Status'!C96="","",'Inventory Status'!C96)</f>
        <v>Ingredient</v>
      </c>
      <c r="D101" s="8" t="str">
        <f>IF('Inventory Status'!D96="","",'Inventory Status'!D96)</f>
        <v>Bag</v>
      </c>
      <c r="E101" s="8">
        <f>IF('Inventory Status'!G96*_xlfn.XLOOKUP('Expected Demand'!$C$13,Table33[Demand Level],Table33[Multiplier])="","",'Inventory Status'!G96*_xlfn.XLOOKUP('Expected Demand'!$C$13,Table33[Demand Level],Table33[Multiplier]))</f>
        <v>0</v>
      </c>
      <c r="F101" s="32">
        <v>49.36</v>
      </c>
      <c r="G101" s="7">
        <v>0</v>
      </c>
      <c r="H101" s="35" t="str">
        <f>IF(dryorder[[#This Row],[Order Price]]*dryorder[[#This Row],[Order Quantity]]=0, "",dryorder[[#This Row],[Order Price]]*dryorder[[#This Row],[Order Quantity]])</f>
        <v/>
      </c>
    </row>
    <row r="102" spans="2:8">
      <c r="B102" s="8" t="str">
        <f>IF('Inventory Status'!B97="","",'Inventory Status'!B97)</f>
        <v>Stem Cherries</v>
      </c>
      <c r="C102" s="8" t="str">
        <f>IF('Inventory Status'!C97="","",'Inventory Status'!C97)</f>
        <v>Ingredient</v>
      </c>
      <c r="D102" s="8" t="str">
        <f>IF('Inventory Status'!D97="","",'Inventory Status'!D97)</f>
        <v>Container</v>
      </c>
      <c r="E102" s="8">
        <f>IF('Inventory Status'!G97*_xlfn.XLOOKUP('Expected Demand'!$C$13,Table33[Demand Level],Table33[Multiplier])="","",'Inventory Status'!G97*_xlfn.XLOOKUP('Expected Demand'!$C$13,Table33[Demand Level],Table33[Multiplier]))</f>
        <v>0</v>
      </c>
      <c r="F102" s="32">
        <v>44.41</v>
      </c>
      <c r="G102" s="7">
        <v>0</v>
      </c>
      <c r="H102" s="35" t="str">
        <f>IF(dryorder[[#This Row],[Order Price]]*dryorder[[#This Row],[Order Quantity]]=0, "",dryorder[[#This Row],[Order Price]]*dryorder[[#This Row],[Order Quantity]])</f>
        <v/>
      </c>
    </row>
    <row r="103" spans="2:8">
      <c r="B103" s="8" t="str">
        <f>IF('Inventory Status'!B98="","",'Inventory Status'!B98)</f>
        <v>Chocolate Flakes</v>
      </c>
      <c r="C103" s="8" t="str">
        <f>IF('Inventory Status'!C98="","",'Inventory Status'!C98)</f>
        <v>Ingredient</v>
      </c>
      <c r="D103" s="8" t="str">
        <f>IF('Inventory Status'!D98="","",'Inventory Status'!D98)</f>
        <v>Box</v>
      </c>
      <c r="E103" s="8">
        <f>IF('Inventory Status'!G98*_xlfn.XLOOKUP('Expected Demand'!$C$13,Table33[Demand Level],Table33[Multiplier])="","",'Inventory Status'!G98*_xlfn.XLOOKUP('Expected Demand'!$C$13,Table33[Demand Level],Table33[Multiplier]))</f>
        <v>0</v>
      </c>
      <c r="F103" s="32">
        <v>18.7</v>
      </c>
      <c r="G103" s="7">
        <v>0</v>
      </c>
      <c r="H103" s="35" t="str">
        <f>IF(dryorder[[#This Row],[Order Price]]*dryorder[[#This Row],[Order Quantity]]=0, "",dryorder[[#This Row],[Order Price]]*dryorder[[#This Row],[Order Quantity]])</f>
        <v/>
      </c>
    </row>
    <row r="104" spans="2:8">
      <c r="B104" s="8" t="str">
        <f>IF('Inventory Status'!B99="","",'Inventory Status'!B99)</f>
        <v>Large Gloves</v>
      </c>
      <c r="C104" s="8" t="str">
        <f>IF('Inventory Status'!C99="","",'Inventory Status'!C99)</f>
        <v>Misc</v>
      </c>
      <c r="D104" s="8" t="str">
        <f>IF('Inventory Status'!D99="","",'Inventory Status'!D99)</f>
        <v>Individual Box</v>
      </c>
      <c r="E104" s="8">
        <f>IF('Inventory Status'!G99*_xlfn.XLOOKUP('Expected Demand'!$C$13,Table33[Demand Level],Table33[Multiplier])="","",'Inventory Status'!G99*_xlfn.XLOOKUP('Expected Demand'!$C$13,Table33[Demand Level],Table33[Multiplier]))</f>
        <v>0</v>
      </c>
      <c r="F104" s="32">
        <v>66.400000000000006</v>
      </c>
      <c r="G104" s="7">
        <v>0</v>
      </c>
      <c r="H104" s="35" t="str">
        <f>IF(dryorder[[#This Row],[Order Price]]*dryorder[[#This Row],[Order Quantity]]=0, "",dryorder[[#This Row],[Order Price]]*dryorder[[#This Row],[Order Quantity]])</f>
        <v/>
      </c>
    </row>
    <row r="105" spans="2:8">
      <c r="B105" s="8" t="str">
        <f>IF('Inventory Status'!B100="","",'Inventory Status'!B100)</f>
        <v>Medium Gloves</v>
      </c>
      <c r="C105" s="8" t="str">
        <f>IF('Inventory Status'!C100="","",'Inventory Status'!C100)</f>
        <v>Misc</v>
      </c>
      <c r="D105" s="8" t="str">
        <f>IF('Inventory Status'!D100="","",'Inventory Status'!D100)</f>
        <v>Individual Box</v>
      </c>
      <c r="E105" s="8">
        <f>IF('Inventory Status'!G100*_xlfn.XLOOKUP('Expected Demand'!$C$13,Table33[Demand Level],Table33[Multiplier])="","",'Inventory Status'!G100*_xlfn.XLOOKUP('Expected Demand'!$C$13,Table33[Demand Level],Table33[Multiplier]))</f>
        <v>0</v>
      </c>
      <c r="F105" s="32">
        <v>66.400000000000006</v>
      </c>
      <c r="G105" s="7">
        <v>0</v>
      </c>
      <c r="H105" s="35" t="str">
        <f>IF(dryorder[[#This Row],[Order Price]]*dryorder[[#This Row],[Order Quantity]]=0, "",dryorder[[#This Row],[Order Price]]*dryorder[[#This Row],[Order Quantity]])</f>
        <v/>
      </c>
    </row>
    <row r="106" spans="2:8">
      <c r="B106" s="8" t="str">
        <f>IF('Inventory Status'!B101="","",'Inventory Status'!B101)</f>
        <v>Trash Liners</v>
      </c>
      <c r="C106" s="8" t="str">
        <f>IF('Inventory Status'!C101="","",'Inventory Status'!C101)</f>
        <v>Misc</v>
      </c>
      <c r="D106" s="8" t="str">
        <f>IF('Inventory Status'!D101="","",'Inventory Status'!D101)</f>
        <v>Box</v>
      </c>
      <c r="E106" s="8">
        <f>IF('Inventory Status'!G101*_xlfn.XLOOKUP('Expected Demand'!$C$13,Table33[Demand Level],Table33[Multiplier])="","",'Inventory Status'!G101*_xlfn.XLOOKUP('Expected Demand'!$C$13,Table33[Demand Level],Table33[Multiplier]))</f>
        <v>0</v>
      </c>
      <c r="F106" s="32">
        <v>45.21</v>
      </c>
      <c r="G106" s="7">
        <v>0</v>
      </c>
      <c r="H106" s="35" t="str">
        <f>IF(dryorder[[#This Row],[Order Price]]*dryorder[[#This Row],[Order Quantity]]=0, "",dryorder[[#This Row],[Order Price]]*dryorder[[#This Row],[Order Quantity]])</f>
        <v/>
      </c>
    </row>
    <row r="107" spans="2:8">
      <c r="B107" s="8" t="str">
        <f>IF('Inventory Status'!B102="","",'Inventory Status'!B102)</f>
        <v>Labels</v>
      </c>
      <c r="C107" s="8" t="str">
        <f>IF('Inventory Status'!C102="","",'Inventory Status'!C102)</f>
        <v>Misc</v>
      </c>
      <c r="D107" s="8" t="str">
        <f>IF('Inventory Status'!D102="","",'Inventory Status'!D102)</f>
        <v>Roll</v>
      </c>
      <c r="E107" s="8">
        <f>IF('Inventory Status'!G102*_xlfn.XLOOKUP('Expected Demand'!$C$13,Table33[Demand Level],Table33[Multiplier])="","",'Inventory Status'!G102*_xlfn.XLOOKUP('Expected Demand'!$C$13,Table33[Demand Level],Table33[Multiplier]))</f>
        <v>1</v>
      </c>
      <c r="F107" s="32">
        <v>13.11</v>
      </c>
      <c r="G107" s="7">
        <v>2</v>
      </c>
      <c r="H107" s="35">
        <f>IF(dryorder[[#This Row],[Order Price]]*dryorder[[#This Row],[Order Quantity]]=0, "",dryorder[[#This Row],[Order Price]]*dryorder[[#This Row],[Order Quantity]])</f>
        <v>26.22</v>
      </c>
    </row>
    <row r="108" spans="2:8">
      <c r="B108" s="8" t="str">
        <f>IF('Inventory Status'!B103="","",'Inventory Status'!B103)</f>
        <v>Plastic Wrap</v>
      </c>
      <c r="C108" s="8" t="str">
        <f>IF('Inventory Status'!C103="","",'Inventory Status'!C103)</f>
        <v>Misc</v>
      </c>
      <c r="D108" s="8" t="str">
        <f>IF('Inventory Status'!D103="","",'Inventory Status'!D103)</f>
        <v>Roll</v>
      </c>
      <c r="E108" s="8">
        <f>IF('Inventory Status'!G103*_xlfn.XLOOKUP('Expected Demand'!$C$13,Table33[Demand Level],Table33[Multiplier])="","",'Inventory Status'!G103*_xlfn.XLOOKUP('Expected Demand'!$C$13,Table33[Demand Level],Table33[Multiplier]))</f>
        <v>1</v>
      </c>
      <c r="F108" s="32">
        <v>22.14</v>
      </c>
      <c r="G108" s="7">
        <v>2</v>
      </c>
      <c r="H108" s="35">
        <f>IF(dryorder[[#This Row],[Order Price]]*dryorder[[#This Row],[Order Quantity]]=0, "",dryorder[[#This Row],[Order Price]]*dryorder[[#This Row],[Order Quantity]])</f>
        <v>44.28</v>
      </c>
    </row>
    <row r="109" spans="2:8">
      <c r="B109" s="8" t="str">
        <f>IF('Inventory Status'!B104="","",'Inventory Status'!B104)</f>
        <v>Tray Paper</v>
      </c>
      <c r="C109" s="8" t="str">
        <f>IF('Inventory Status'!C104="","",'Inventory Status'!C104)</f>
        <v>Misc</v>
      </c>
      <c r="D109" s="8" t="str">
        <f>IF('Inventory Status'!D104="","",'Inventory Status'!D104)</f>
        <v>Bag</v>
      </c>
      <c r="E109" s="8">
        <f>IF('Inventory Status'!G104*_xlfn.XLOOKUP('Expected Demand'!$C$13,Table33[Demand Level],Table33[Multiplier])="","",'Inventory Status'!G104*_xlfn.XLOOKUP('Expected Demand'!$C$13,Table33[Demand Level],Table33[Multiplier]))</f>
        <v>1</v>
      </c>
      <c r="F109" s="32">
        <v>31.9</v>
      </c>
      <c r="G109" s="7">
        <v>2</v>
      </c>
      <c r="H109" s="35">
        <f>IF(dryorder[[#This Row],[Order Price]]*dryorder[[#This Row],[Order Quantity]]=0, "",dryorder[[#This Row],[Order Price]]*dryorder[[#This Row],[Order Quantity]])</f>
        <v>63.8</v>
      </c>
    </row>
    <row r="110" spans="2:8">
      <c r="B110" s="8" t="str">
        <f>IF('Inventory Status'!B105="","",'Inventory Status'!B105)</f>
        <v>Toilet Paper</v>
      </c>
      <c r="C110" s="8" t="str">
        <f>IF('Inventory Status'!C105="","",'Inventory Status'!C105)</f>
        <v>Misc</v>
      </c>
      <c r="D110" s="8" t="str">
        <f>IF('Inventory Status'!D105="","",'Inventory Status'!D105)</f>
        <v>Roll</v>
      </c>
      <c r="E110" s="8">
        <f>IF('Inventory Status'!G105*_xlfn.XLOOKUP('Expected Demand'!$C$13,Table33[Demand Level],Table33[Multiplier])="","",'Inventory Status'!G105*_xlfn.XLOOKUP('Expected Demand'!$C$13,Table33[Demand Level],Table33[Multiplier]))</f>
        <v>0</v>
      </c>
      <c r="F110" s="32">
        <v>100.38</v>
      </c>
      <c r="G110" s="7">
        <v>0</v>
      </c>
      <c r="H110" s="35" t="str">
        <f>IF(dryorder[[#This Row],[Order Price]]*dryorder[[#This Row],[Order Quantity]]=0, "",dryorder[[#This Row],[Order Price]]*dryorder[[#This Row],[Order Quantity]])</f>
        <v/>
      </c>
    </row>
    <row r="111" spans="2:8">
      <c r="B111" s="8" t="str">
        <f>IF('Inventory Status'!B106="","",'Inventory Status'!B106)</f>
        <v>Paper Towels</v>
      </c>
      <c r="C111" s="8" t="str">
        <f>IF('Inventory Status'!C106="","",'Inventory Status'!C106)</f>
        <v>Misc</v>
      </c>
      <c r="D111" s="8" t="str">
        <f>IF('Inventory Status'!D106="","",'Inventory Status'!D106)</f>
        <v>Roll</v>
      </c>
      <c r="E111" s="8">
        <f>IF('Inventory Status'!G106*_xlfn.XLOOKUP('Expected Demand'!$C$13,Table33[Demand Level],Table33[Multiplier])="","",'Inventory Status'!G106*_xlfn.XLOOKUP('Expected Demand'!$C$13,Table33[Demand Level],Table33[Multiplier]))</f>
        <v>0</v>
      </c>
      <c r="F111" s="32">
        <v>46.64</v>
      </c>
      <c r="G111" s="7">
        <v>0</v>
      </c>
      <c r="H111" s="35" t="str">
        <f>IF(dryorder[[#This Row],[Order Price]]*dryorder[[#This Row],[Order Quantity]]=0, "",dryorder[[#This Row],[Order Price]]*dryorder[[#This Row],[Order Quantity]])</f>
        <v/>
      </c>
    </row>
    <row r="112" spans="2:8">
      <c r="B112" s="8" t="str">
        <f>IF('Inventory Status'!B107="","",'Inventory Status'!B107)</f>
        <v>Relish</v>
      </c>
      <c r="C112" s="8" t="str">
        <f>IF('Inventory Status'!C107="","",'Inventory Status'!C107)</f>
        <v>Sauce</v>
      </c>
      <c r="D112" s="8" t="str">
        <f>IF('Inventory Status'!D107="","",'Inventory Status'!D107)</f>
        <v>Container</v>
      </c>
      <c r="E112" s="8">
        <f>IF('Inventory Status'!G107*_xlfn.XLOOKUP('Expected Demand'!$C$13,Table33[Demand Level],Table33[Multiplier])="","",'Inventory Status'!G107*_xlfn.XLOOKUP('Expected Demand'!$C$13,Table33[Demand Level],Table33[Multiplier]))</f>
        <v>0</v>
      </c>
      <c r="F112" s="32">
        <v>34.75</v>
      </c>
      <c r="G112" s="7">
        <v>0</v>
      </c>
      <c r="H112" s="35" t="str">
        <f>IF(dryorder[[#This Row],[Order Price]]*dryorder[[#This Row],[Order Quantity]]=0, "",dryorder[[#This Row],[Order Price]]*dryorder[[#This Row],[Order Quantity]])</f>
        <v/>
      </c>
    </row>
    <row r="113" spans="2:8">
      <c r="B113" s="8" t="str">
        <f>IF('Inventory Status'!B108="","",'Inventory Status'!B108)</f>
        <v>Mayonaise</v>
      </c>
      <c r="C113" s="8" t="str">
        <f>IF('Inventory Status'!C108="","",'Inventory Status'!C108)</f>
        <v>Sauce</v>
      </c>
      <c r="D113" s="8" t="str">
        <f>IF('Inventory Status'!D108="","",'Inventory Status'!D108)</f>
        <v>Container</v>
      </c>
      <c r="E113" s="8">
        <f>IF('Inventory Status'!G108*_xlfn.XLOOKUP('Expected Demand'!$C$13,Table33[Demand Level],Table33[Multiplier])="","",'Inventory Status'!G108*_xlfn.XLOOKUP('Expected Demand'!$C$13,Table33[Demand Level],Table33[Multiplier]))</f>
        <v>5</v>
      </c>
      <c r="F113" s="32">
        <v>55.88</v>
      </c>
      <c r="G113" s="7">
        <v>8</v>
      </c>
      <c r="H113" s="35">
        <f>IF(dryorder[[#This Row],[Order Price]]*dryorder[[#This Row],[Order Quantity]]=0, "",dryorder[[#This Row],[Order Price]]*dryorder[[#This Row],[Order Quantity]])</f>
        <v>447.04</v>
      </c>
    </row>
    <row r="114" spans="2:8">
      <c r="B114" s="8" t="str">
        <f>IF('Inventory Status'!B109="","",'Inventory Status'!B109)</f>
        <v>Portland Ketchup</v>
      </c>
      <c r="C114" s="8" t="str">
        <f>IF('Inventory Status'!C109="","",'Inventory Status'!C109)</f>
        <v>Sauce</v>
      </c>
      <c r="D114" s="8" t="str">
        <f>IF('Inventory Status'!D109="","",'Inventory Status'!D109)</f>
        <v>Container/Box</v>
      </c>
      <c r="E114" s="8">
        <f>IF('Inventory Status'!G109*_xlfn.XLOOKUP('Expected Demand'!$C$13,Table33[Demand Level],Table33[Multiplier])="","",'Inventory Status'!G109*_xlfn.XLOOKUP('Expected Demand'!$C$13,Table33[Demand Level],Table33[Multiplier]))</f>
        <v>0</v>
      </c>
      <c r="F114" s="32">
        <v>41.77</v>
      </c>
      <c r="G114" s="7">
        <v>0</v>
      </c>
      <c r="H114" s="35" t="str">
        <f>IF(dryorder[[#This Row],[Order Price]]*dryorder[[#This Row],[Order Quantity]]=0, "",dryorder[[#This Row],[Order Price]]*dryorder[[#This Row],[Order Quantity]])</f>
        <v/>
      </c>
    </row>
    <row r="115" spans="2:8">
      <c r="B115" s="8" t="str">
        <f>IF('Inventory Status'!B110="","",'Inventory Status'!B110)</f>
        <v>Canned Ketchup</v>
      </c>
      <c r="C115" s="8" t="str">
        <f>IF('Inventory Status'!C110="","",'Inventory Status'!C110)</f>
        <v>Sauce</v>
      </c>
      <c r="D115" s="8" t="str">
        <f>IF('Inventory Status'!D110="","",'Inventory Status'!D110)</f>
        <v>Can</v>
      </c>
      <c r="E115" s="8">
        <f>IF('Inventory Status'!G110*_xlfn.XLOOKUP('Expected Demand'!$C$13,Table33[Demand Level],Table33[Multiplier])="","",'Inventory Status'!G110*_xlfn.XLOOKUP('Expected Demand'!$C$13,Table33[Demand Level],Table33[Multiplier]))</f>
        <v>3</v>
      </c>
      <c r="F115" s="32">
        <v>53.26</v>
      </c>
      <c r="G115" s="7">
        <v>2</v>
      </c>
      <c r="H115" s="35">
        <f>IF(dryorder[[#This Row],[Order Price]]*dryorder[[#This Row],[Order Quantity]]=0, "",dryorder[[#This Row],[Order Price]]*dryorder[[#This Row],[Order Quantity]])</f>
        <v>106.52</v>
      </c>
    </row>
    <row r="116" spans="2:8">
      <c r="B116" s="8" t="str">
        <f>IF('Inventory Status'!B111="","",'Inventory Status'!B111)</f>
        <v>Chipotle Pepper in Adobo</v>
      </c>
      <c r="C116" s="8" t="str">
        <f>IF('Inventory Status'!C111="","",'Inventory Status'!C111)</f>
        <v>Sauce</v>
      </c>
      <c r="D116" s="8" t="str">
        <f>IF('Inventory Status'!D111="","",'Inventory Status'!D111)</f>
        <v>Can</v>
      </c>
      <c r="E116" s="8">
        <f>IF('Inventory Status'!G111*_xlfn.XLOOKUP('Expected Demand'!$C$13,Table33[Demand Level],Table33[Multiplier])="","",'Inventory Status'!G111*_xlfn.XLOOKUP('Expected Demand'!$C$13,Table33[Demand Level],Table33[Multiplier]))</f>
        <v>1</v>
      </c>
      <c r="F116" s="32">
        <v>31.24</v>
      </c>
      <c r="G116" s="7">
        <v>1</v>
      </c>
      <c r="H116" s="35">
        <f>IF(dryorder[[#This Row],[Order Price]]*dryorder[[#This Row],[Order Quantity]]=0, "",dryorder[[#This Row],[Order Price]]*dryorder[[#This Row],[Order Quantity]])</f>
        <v>31.24</v>
      </c>
    </row>
    <row r="117" spans="2:8">
      <c r="B117" s="8" t="str">
        <f>IF('Inventory Status'!B112="","",'Inventory Status'!B112)</f>
        <v>Yellow Mustard</v>
      </c>
      <c r="C117" s="8" t="str">
        <f>IF('Inventory Status'!C112="","",'Inventory Status'!C112)</f>
        <v>Sauce</v>
      </c>
      <c r="D117" s="8" t="str">
        <f>IF('Inventory Status'!D112="","",'Inventory Status'!D112)</f>
        <v>Container</v>
      </c>
      <c r="E117" s="8">
        <f>IF('Inventory Status'!G112*_xlfn.XLOOKUP('Expected Demand'!$C$13,Table33[Demand Level],Table33[Multiplier])="","",'Inventory Status'!G112*_xlfn.XLOOKUP('Expected Demand'!$C$13,Table33[Demand Level],Table33[Multiplier]))</f>
        <v>0</v>
      </c>
      <c r="F117" s="32">
        <v>29.08</v>
      </c>
      <c r="G117" s="7">
        <v>0</v>
      </c>
      <c r="H117" s="35" t="str">
        <f>IF(dryorder[[#This Row],[Order Price]]*dryorder[[#This Row],[Order Quantity]]=0, "",dryorder[[#This Row],[Order Price]]*dryorder[[#This Row],[Order Quantity]])</f>
        <v/>
      </c>
    </row>
    <row r="118" spans="2:8">
      <c r="B118" s="8" t="str">
        <f>IF('Inventory Status'!B113="","",'Inventory Status'!B113)</f>
        <v>Dijon Mustard</v>
      </c>
      <c r="C118" s="8" t="str">
        <f>IF('Inventory Status'!C113="","",'Inventory Status'!C113)</f>
        <v>Sauce</v>
      </c>
      <c r="D118" s="8" t="str">
        <f>IF('Inventory Status'!D113="","",'Inventory Status'!D113)</f>
        <v>Bottle</v>
      </c>
      <c r="E118" s="8">
        <f>IF('Inventory Status'!G113*_xlfn.XLOOKUP('Expected Demand'!$C$13,Table33[Demand Level],Table33[Multiplier])="","",'Inventory Status'!G113*_xlfn.XLOOKUP('Expected Demand'!$C$13,Table33[Demand Level],Table33[Multiplier]))</f>
        <v>0</v>
      </c>
      <c r="F118" s="32">
        <v>29.87</v>
      </c>
      <c r="G118" s="7">
        <v>0</v>
      </c>
      <c r="H118" s="35" t="str">
        <f>IF(dryorder[[#This Row],[Order Price]]*dryorder[[#This Row],[Order Quantity]]=0, "",dryorder[[#This Row],[Order Price]]*dryorder[[#This Row],[Order Quantity]])</f>
        <v/>
      </c>
    </row>
    <row r="119" spans="2:8">
      <c r="B119" s="8" t="str">
        <f>IF('Inventory Status'!B114="","",'Inventory Status'!B114)</f>
        <v>Maple Syrup</v>
      </c>
      <c r="C119" s="8" t="str">
        <f>IF('Inventory Status'!C114="","",'Inventory Status'!C114)</f>
        <v>Sauce</v>
      </c>
      <c r="D119" s="8" t="str">
        <f>IF('Inventory Status'!D114="","",'Inventory Status'!D114)</f>
        <v>Container</v>
      </c>
      <c r="E119" s="8">
        <f>IF('Inventory Status'!G114*_xlfn.XLOOKUP('Expected Demand'!$C$13,Table33[Demand Level],Table33[Multiplier])="","",'Inventory Status'!G114*_xlfn.XLOOKUP('Expected Demand'!$C$13,Table33[Demand Level],Table33[Multiplier]))</f>
        <v>0</v>
      </c>
      <c r="F119" s="32">
        <v>31.41</v>
      </c>
      <c r="G119" s="7">
        <v>0</v>
      </c>
      <c r="H119" s="35" t="str">
        <f>IF(dryorder[[#This Row],[Order Price]]*dryorder[[#This Row],[Order Quantity]]=0, "",dryorder[[#This Row],[Order Price]]*dryorder[[#This Row],[Order Quantity]])</f>
        <v/>
      </c>
    </row>
    <row r="120" spans="2:8">
      <c r="B120" s="8" t="str">
        <f>IF('Inventory Status'!B115="","",'Inventory Status'!B115)</f>
        <v>Honey</v>
      </c>
      <c r="C120" s="8" t="str">
        <f>IF('Inventory Status'!C115="","",'Inventory Status'!C115)</f>
        <v>Sauce</v>
      </c>
      <c r="D120" s="8" t="str">
        <f>IF('Inventory Status'!D115="","",'Inventory Status'!D115)</f>
        <v>Bottle</v>
      </c>
      <c r="E120" s="8">
        <f>IF('Inventory Status'!G115*_xlfn.XLOOKUP('Expected Demand'!$C$13,Table33[Demand Level],Table33[Multiplier])="","",'Inventory Status'!G115*_xlfn.XLOOKUP('Expected Demand'!$C$13,Table33[Demand Level],Table33[Multiplier]))</f>
        <v>2</v>
      </c>
      <c r="F120" s="32">
        <v>38.340000000000003</v>
      </c>
      <c r="G120" s="7">
        <v>1</v>
      </c>
      <c r="H120" s="35">
        <f>IF(dryorder[[#This Row],[Order Price]]*dryorder[[#This Row],[Order Quantity]]=0, "",dryorder[[#This Row],[Order Price]]*dryorder[[#This Row],[Order Quantity]])</f>
        <v>38.340000000000003</v>
      </c>
    </row>
    <row r="121" spans="2:8">
      <c r="B121" s="8" t="str">
        <f>IF('Inventory Status'!B116="","",'Inventory Status'!B116)</f>
        <v>Stemless Cherries</v>
      </c>
      <c r="C121" s="8" t="str">
        <f>IF('Inventory Status'!C116="","",'Inventory Status'!C116)</f>
        <v>Sauce</v>
      </c>
      <c r="D121" s="8" t="str">
        <f>IF('Inventory Status'!D116="","",'Inventory Status'!D116)</f>
        <v>Container</v>
      </c>
      <c r="E121" s="8">
        <f>IF('Inventory Status'!G116*_xlfn.XLOOKUP('Expected Demand'!$C$13,Table33[Demand Level],Table33[Multiplier])="","",'Inventory Status'!G116*_xlfn.XLOOKUP('Expected Demand'!$C$13,Table33[Demand Level],Table33[Multiplier]))</f>
        <v>0</v>
      </c>
      <c r="F121" s="32">
        <v>20.100000000000001</v>
      </c>
      <c r="G121" s="7">
        <v>0</v>
      </c>
      <c r="H121" s="35" t="str">
        <f>IF(dryorder[[#This Row],[Order Price]]*dryorder[[#This Row],[Order Quantity]]=0, "",dryorder[[#This Row],[Order Price]]*dryorder[[#This Row],[Order Quantity]])</f>
        <v/>
      </c>
    </row>
    <row r="122" spans="2:8">
      <c r="B122" s="8" t="str">
        <f>IF('Inventory Status'!B117="","",'Inventory Status'!B117)</f>
        <v>Teriyaki</v>
      </c>
      <c r="C122" s="8" t="str">
        <f>IF('Inventory Status'!C117="","",'Inventory Status'!C117)</f>
        <v>Sauce</v>
      </c>
      <c r="D122" s="8" t="str">
        <f>IF('Inventory Status'!D117="","",'Inventory Status'!D117)</f>
        <v>Container</v>
      </c>
      <c r="E122" s="8">
        <f>IF('Inventory Status'!G117*_xlfn.XLOOKUP('Expected Demand'!$C$13,Table33[Demand Level],Table33[Multiplier])="","",'Inventory Status'!G117*_xlfn.XLOOKUP('Expected Demand'!$C$13,Table33[Demand Level],Table33[Multiplier]))</f>
        <v>0</v>
      </c>
      <c r="F122" s="32">
        <v>46.8</v>
      </c>
      <c r="G122" s="7">
        <v>0</v>
      </c>
      <c r="H122" s="35" t="str">
        <f>IF(dryorder[[#This Row],[Order Price]]*dryorder[[#This Row],[Order Quantity]]=0, "",dryorder[[#This Row],[Order Price]]*dryorder[[#This Row],[Order Quantity]])</f>
        <v/>
      </c>
    </row>
    <row r="123" spans="2:8">
      <c r="B123" s="8" t="str">
        <f>IF('Inventory Status'!B118="","",'Inventory Status'!B118)</f>
        <v>Vinaigrette</v>
      </c>
      <c r="C123" s="8" t="str">
        <f>IF('Inventory Status'!C118="","",'Inventory Status'!C118)</f>
        <v>Sauce</v>
      </c>
      <c r="D123" s="8" t="str">
        <f>IF('Inventory Status'!D118="","",'Inventory Status'!D118)</f>
        <v>Container</v>
      </c>
      <c r="E123" s="8">
        <f>IF('Inventory Status'!G118*_xlfn.XLOOKUP('Expected Demand'!$C$13,Table33[Demand Level],Table33[Multiplier])="","",'Inventory Status'!G118*_xlfn.XLOOKUP('Expected Demand'!$C$13,Table33[Demand Level],Table33[Multiplier]))</f>
        <v>0</v>
      </c>
      <c r="F123" s="32">
        <v>55.32</v>
      </c>
      <c r="G123" s="7">
        <v>0</v>
      </c>
      <c r="H123" s="35" t="str">
        <f>IF(dryorder[[#This Row],[Order Price]]*dryorder[[#This Row],[Order Quantity]]=0, "",dryorder[[#This Row],[Order Price]]*dryorder[[#This Row],[Order Quantity]])</f>
        <v/>
      </c>
    </row>
    <row r="124" spans="2:8">
      <c r="B124" s="8" t="str">
        <f>IF('Inventory Status'!B119="","",'Inventory Status'!B119)</f>
        <v>A1 Steak Sauce</v>
      </c>
      <c r="C124" s="8" t="str">
        <f>IF('Inventory Status'!C119="","",'Inventory Status'!C119)</f>
        <v>Sauce</v>
      </c>
      <c r="D124" s="8" t="str">
        <f>IF('Inventory Status'!D119="","",'Inventory Status'!D119)</f>
        <v>Container</v>
      </c>
      <c r="E124" s="8">
        <f>IF('Inventory Status'!G119*_xlfn.XLOOKUP('Expected Demand'!$C$13,Table33[Demand Level],Table33[Multiplier])="","",'Inventory Status'!G119*_xlfn.XLOOKUP('Expected Demand'!$C$13,Table33[Demand Level],Table33[Multiplier]))</f>
        <v>0</v>
      </c>
      <c r="F124" s="32">
        <v>28.09</v>
      </c>
      <c r="G124" s="7">
        <v>0</v>
      </c>
      <c r="H124" s="35" t="str">
        <f>IF(dryorder[[#This Row],[Order Price]]*dryorder[[#This Row],[Order Quantity]]=0, "",dryorder[[#This Row],[Order Price]]*dryorder[[#This Row],[Order Quantity]])</f>
        <v/>
      </c>
    </row>
    <row r="125" spans="2:8">
      <c r="B125" s="8" t="str">
        <f>IF('Inventory Status'!B120="","",'Inventory Status'!B120)</f>
        <v>Balsamic Reduction</v>
      </c>
      <c r="C125" s="8" t="str">
        <f>IF('Inventory Status'!C120="","",'Inventory Status'!C120)</f>
        <v>Sauce</v>
      </c>
      <c r="D125" s="8" t="str">
        <f>IF('Inventory Status'!D120="","",'Inventory Status'!D120)</f>
        <v>Bottle</v>
      </c>
      <c r="E125" s="8">
        <f>IF('Inventory Status'!G120*_xlfn.XLOOKUP('Expected Demand'!$C$13,Table33[Demand Level],Table33[Multiplier])="","",'Inventory Status'!G120*_xlfn.XLOOKUP('Expected Demand'!$C$13,Table33[Demand Level],Table33[Multiplier]))</f>
        <v>1</v>
      </c>
      <c r="F125" s="32">
        <v>49.36</v>
      </c>
      <c r="G125" s="7">
        <v>1</v>
      </c>
      <c r="H125" s="35">
        <f>IF(dryorder[[#This Row],[Order Price]]*dryorder[[#This Row],[Order Quantity]]=0, "",dryorder[[#This Row],[Order Price]]*dryorder[[#This Row],[Order Quantity]])</f>
        <v>49.36</v>
      </c>
    </row>
    <row r="126" spans="2:8">
      <c r="B126" s="8" t="str">
        <f>IF('Inventory Status'!B121="","",'Inventory Status'!B121)</f>
        <v>Sriracha</v>
      </c>
      <c r="C126" s="8" t="str">
        <f>IF('Inventory Status'!C121="","",'Inventory Status'!C121)</f>
        <v>Sauce</v>
      </c>
      <c r="D126" s="8" t="str">
        <f>IF('Inventory Status'!D121="","",'Inventory Status'!D121)</f>
        <v>Bottle</v>
      </c>
      <c r="E126" s="8">
        <f>IF('Inventory Status'!G121*_xlfn.XLOOKUP('Expected Demand'!$C$13,Table33[Demand Level],Table33[Multiplier])="","",'Inventory Status'!G121*_xlfn.XLOOKUP('Expected Demand'!$C$13,Table33[Demand Level],Table33[Multiplier]))</f>
        <v>2</v>
      </c>
      <c r="F126" s="32">
        <v>22.12</v>
      </c>
      <c r="G126" s="7">
        <v>1</v>
      </c>
      <c r="H126" s="35">
        <f>IF(dryorder[[#This Row],[Order Price]]*dryorder[[#This Row],[Order Quantity]]=0, "",dryorder[[#This Row],[Order Price]]*dryorder[[#This Row],[Order Quantity]])</f>
        <v>22.12</v>
      </c>
    </row>
    <row r="127" spans="2:8">
      <c r="B127" s="8" t="str">
        <f>IF('Inventory Status'!B122="","",'Inventory Status'!B122)</f>
        <v>Frank's Red Hot</v>
      </c>
      <c r="C127" s="8" t="str">
        <f>IF('Inventory Status'!C122="","",'Inventory Status'!C122)</f>
        <v>Sauce</v>
      </c>
      <c r="D127" s="8" t="str">
        <f>IF('Inventory Status'!D122="","",'Inventory Status'!D122)</f>
        <v>Container</v>
      </c>
      <c r="E127" s="8">
        <f>IF('Inventory Status'!G122*_xlfn.XLOOKUP('Expected Demand'!$C$13,Table33[Demand Level],Table33[Multiplier])="","",'Inventory Status'!G122*_xlfn.XLOOKUP('Expected Demand'!$C$13,Table33[Demand Level],Table33[Multiplier]))</f>
        <v>0</v>
      </c>
      <c r="F127" s="32">
        <v>26.78</v>
      </c>
      <c r="G127" s="7">
        <v>0</v>
      </c>
      <c r="H127" s="35" t="str">
        <f>IF(dryorder[[#This Row],[Order Price]]*dryorder[[#This Row],[Order Quantity]]=0, "",dryorder[[#This Row],[Order Price]]*dryorder[[#This Row],[Order Quantity]])</f>
        <v/>
      </c>
    </row>
    <row r="128" spans="2:8">
      <c r="B128" s="8" t="str">
        <f>IF('Inventory Status'!B123="","",'Inventory Status'!B123)</f>
        <v>Apple Cider Vinegar</v>
      </c>
      <c r="C128" s="8" t="str">
        <f>IF('Inventory Status'!C123="","",'Inventory Status'!C123)</f>
        <v>Sauce</v>
      </c>
      <c r="D128" s="8" t="str">
        <f>IF('Inventory Status'!D123="","",'Inventory Status'!D123)</f>
        <v>Container</v>
      </c>
      <c r="E128" s="8">
        <f>IF('Inventory Status'!G123*_xlfn.XLOOKUP('Expected Demand'!$C$13,Table33[Demand Level],Table33[Multiplier])="","",'Inventory Status'!G123*_xlfn.XLOOKUP('Expected Demand'!$C$13,Table33[Demand Level],Table33[Multiplier]))</f>
        <v>0</v>
      </c>
      <c r="F128" s="32">
        <v>39.83</v>
      </c>
      <c r="G128" s="7">
        <v>0</v>
      </c>
      <c r="H128" s="35" t="str">
        <f>IF(dryorder[[#This Row],[Order Price]]*dryorder[[#This Row],[Order Quantity]]=0, "",dryorder[[#This Row],[Order Price]]*dryorder[[#This Row],[Order Quantity]])</f>
        <v/>
      </c>
    </row>
    <row r="129" spans="2:8">
      <c r="B129" s="8" t="str">
        <f>IF('Inventory Status'!B124="","",'Inventory Status'!B124)</f>
        <v>Red Wine Vinegar</v>
      </c>
      <c r="C129" s="8" t="str">
        <f>IF('Inventory Status'!C124="","",'Inventory Status'!C124)</f>
        <v>Sauce</v>
      </c>
      <c r="D129" s="8" t="str">
        <f>IF('Inventory Status'!D124="","",'Inventory Status'!D124)</f>
        <v>Container</v>
      </c>
      <c r="E129" s="8">
        <f>IF('Inventory Status'!G124*_xlfn.XLOOKUP('Expected Demand'!$C$13,Table33[Demand Level],Table33[Multiplier])="","",'Inventory Status'!G124*_xlfn.XLOOKUP('Expected Demand'!$C$13,Table33[Demand Level],Table33[Multiplier]))</f>
        <v>0</v>
      </c>
      <c r="F129" s="32">
        <v>29.06</v>
      </c>
      <c r="G129" s="7">
        <v>0</v>
      </c>
      <c r="H129" s="35" t="str">
        <f>IF(dryorder[[#This Row],[Order Price]]*dryorder[[#This Row],[Order Quantity]]=0, "",dryorder[[#This Row],[Order Price]]*dryorder[[#This Row],[Order Quantity]])</f>
        <v/>
      </c>
    </row>
    <row r="130" spans="2:8">
      <c r="B130" s="8" t="str">
        <f>IF('Inventory Status'!B125="","",'Inventory Status'!B125)</f>
        <v>Chocolate Syrup</v>
      </c>
      <c r="C130" s="8" t="str">
        <f>IF('Inventory Status'!C125="","",'Inventory Status'!C125)</f>
        <v>Sauce</v>
      </c>
      <c r="D130" s="8" t="str">
        <f>IF('Inventory Status'!D125="","",'Inventory Status'!D125)</f>
        <v>Container</v>
      </c>
      <c r="E130" s="8">
        <f>IF('Inventory Status'!G125*_xlfn.XLOOKUP('Expected Demand'!$C$13,Table33[Demand Level],Table33[Multiplier])="","",'Inventory Status'!G125*_xlfn.XLOOKUP('Expected Demand'!$C$13,Table33[Demand Level],Table33[Multiplier]))</f>
        <v>0</v>
      </c>
      <c r="F130" s="32">
        <v>14.82</v>
      </c>
      <c r="G130" s="7">
        <v>0</v>
      </c>
      <c r="H130" s="35" t="str">
        <f>IF(dryorder[[#This Row],[Order Price]]*dryorder[[#This Row],[Order Quantity]]=0, "",dryorder[[#This Row],[Order Price]]*dryorder[[#This Row],[Order Quantity]])</f>
        <v/>
      </c>
    </row>
    <row r="131" spans="2:8">
      <c r="B131" s="8" t="str">
        <f>IF('Inventory Status'!B126="","",'Inventory Status'!B126)</f>
        <v>Caramel Syrup</v>
      </c>
      <c r="C131" s="8" t="str">
        <f>IF('Inventory Status'!C126="","",'Inventory Status'!C126)</f>
        <v>Sauce</v>
      </c>
      <c r="D131" s="8" t="str">
        <f>IF('Inventory Status'!D126="","",'Inventory Status'!D126)</f>
        <v>Container</v>
      </c>
      <c r="E131" s="8">
        <f>IF('Inventory Status'!G126*_xlfn.XLOOKUP('Expected Demand'!$C$13,Table33[Demand Level],Table33[Multiplier])="","",'Inventory Status'!G126*_xlfn.XLOOKUP('Expected Demand'!$C$13,Table33[Demand Level],Table33[Multiplier]))</f>
        <v>0</v>
      </c>
      <c r="F131" s="32">
        <v>22.69</v>
      </c>
      <c r="G131" s="7">
        <v>0</v>
      </c>
      <c r="H131" s="35" t="str">
        <f>IF(dryorder[[#This Row],[Order Price]]*dryorder[[#This Row],[Order Quantity]]=0, "",dryorder[[#This Row],[Order Price]]*dryorder[[#This Row],[Order Quantity]])</f>
        <v/>
      </c>
    </row>
    <row r="132" spans="2:8">
      <c r="B132" s="8" t="str">
        <f>IF('Inventory Status'!B127="","",'Inventory Status'!B127)</f>
        <v>Malt Vinegar</v>
      </c>
      <c r="C132" s="8" t="str">
        <f>IF('Inventory Status'!C127="","",'Inventory Status'!C127)</f>
        <v>Sauce</v>
      </c>
      <c r="D132" s="8" t="str">
        <f>IF('Inventory Status'!D127="","",'Inventory Status'!D127)</f>
        <v>Container</v>
      </c>
      <c r="E132" s="8">
        <f>IF('Inventory Status'!G127*_xlfn.XLOOKUP('Expected Demand'!$C$13,Table33[Demand Level],Table33[Multiplier])="","",'Inventory Status'!G127*_xlfn.XLOOKUP('Expected Demand'!$C$13,Table33[Demand Level],Table33[Multiplier]))</f>
        <v>0</v>
      </c>
      <c r="F132" s="32">
        <v>38.299999999999997</v>
      </c>
      <c r="G132" s="7">
        <v>0</v>
      </c>
      <c r="H132" s="35" t="str">
        <f>IF(dryorder[[#This Row],[Order Price]]*dryorder[[#This Row],[Order Quantity]]=0, "",dryorder[[#This Row],[Order Price]]*dryorder[[#This Row],[Order Quantity]])</f>
        <v/>
      </c>
    </row>
    <row r="133" spans="2:8">
      <c r="B133" s="8" t="str">
        <f>IF('Inventory Status'!B128="","",'Inventory Status'!B128)</f>
        <v>Salt</v>
      </c>
      <c r="C133" s="8" t="str">
        <f>IF('Inventory Status'!C128="","",'Inventory Status'!C128)</f>
        <v>Seasoning</v>
      </c>
      <c r="D133" s="8" t="str">
        <f>IF('Inventory Status'!D128="","",'Inventory Status'!D128)</f>
        <v>Box</v>
      </c>
      <c r="E133" s="8">
        <f>IF('Inventory Status'!G128*_xlfn.XLOOKUP('Expected Demand'!$C$13,Table33[Demand Level],Table33[Multiplier])="","",'Inventory Status'!G128*_xlfn.XLOOKUP('Expected Demand'!$C$13,Table33[Demand Level],Table33[Multiplier]))</f>
        <v>1</v>
      </c>
      <c r="F133" s="32">
        <v>11.17</v>
      </c>
      <c r="G133" s="7">
        <v>2</v>
      </c>
      <c r="H133" s="35">
        <f>IF(dryorder[[#This Row],[Order Price]]*dryorder[[#This Row],[Order Quantity]]=0, "",dryorder[[#This Row],[Order Price]]*dryorder[[#This Row],[Order Quantity]])</f>
        <v>22.34</v>
      </c>
    </row>
    <row r="134" spans="2:8">
      <c r="B134" s="8" t="str">
        <f>IF('Inventory Status'!B129="","",'Inventory Status'!B129)</f>
        <v>Pepper</v>
      </c>
      <c r="C134" s="8" t="str">
        <f>IF('Inventory Status'!C129="","",'Inventory Status'!C129)</f>
        <v>Seasoning</v>
      </c>
      <c r="D134" s="8" t="str">
        <f>IF('Inventory Status'!D129="","",'Inventory Status'!D129)</f>
        <v>Container</v>
      </c>
      <c r="E134" s="8">
        <f>IF('Inventory Status'!G129*_xlfn.XLOOKUP('Expected Demand'!$C$13,Table33[Demand Level],Table33[Multiplier])="","",'Inventory Status'!G129*_xlfn.XLOOKUP('Expected Demand'!$C$13,Table33[Demand Level],Table33[Multiplier]))</f>
        <v>0</v>
      </c>
      <c r="F134" s="32">
        <v>48.82</v>
      </c>
      <c r="G134" s="7">
        <v>0</v>
      </c>
      <c r="H134" s="35" t="str">
        <f>IF(dryorder[[#This Row],[Order Price]]*dryorder[[#This Row],[Order Quantity]]=0, "",dryorder[[#This Row],[Order Price]]*dryorder[[#This Row],[Order Quantity]])</f>
        <v/>
      </c>
    </row>
    <row r="135" spans="2:8">
      <c r="B135" s="8" t="str">
        <f>IF('Inventory Status'!B130="","",'Inventory Status'!B130)</f>
        <v>Cajun</v>
      </c>
      <c r="C135" s="8" t="str">
        <f>IF('Inventory Status'!C130="","",'Inventory Status'!C130)</f>
        <v>Seasoning</v>
      </c>
      <c r="D135" s="8" t="str">
        <f>IF('Inventory Status'!D130="","",'Inventory Status'!D130)</f>
        <v>Container</v>
      </c>
      <c r="E135" s="8">
        <f>IF('Inventory Status'!G130*_xlfn.XLOOKUP('Expected Demand'!$C$13,Table33[Demand Level],Table33[Multiplier])="","",'Inventory Status'!G130*_xlfn.XLOOKUP('Expected Demand'!$C$13,Table33[Demand Level],Table33[Multiplier]))</f>
        <v>0</v>
      </c>
      <c r="F135" s="32">
        <v>83.54</v>
      </c>
      <c r="G135" s="7">
        <v>0</v>
      </c>
      <c r="H135" s="35" t="str">
        <f>IF(dryorder[[#This Row],[Order Price]]*dryorder[[#This Row],[Order Quantity]]=0, "",dryorder[[#This Row],[Order Price]]*dryorder[[#This Row],[Order Quantity]])</f>
        <v/>
      </c>
    </row>
    <row r="136" spans="2:8">
      <c r="B136" s="8" t="str">
        <f>IF('Inventory Status'!B131="","",'Inventory Status'!B131)</f>
        <v>Garlic Powder</v>
      </c>
      <c r="C136" s="8" t="str">
        <f>IF('Inventory Status'!C131="","",'Inventory Status'!C131)</f>
        <v>Seasoning</v>
      </c>
      <c r="D136" s="8" t="str">
        <f>IF('Inventory Status'!D131="","",'Inventory Status'!D131)</f>
        <v>Container</v>
      </c>
      <c r="E136" s="8">
        <f>IF('Inventory Status'!G131*_xlfn.XLOOKUP('Expected Demand'!$C$13,Table33[Demand Level],Table33[Multiplier])="","",'Inventory Status'!G131*_xlfn.XLOOKUP('Expected Demand'!$C$13,Table33[Demand Level],Table33[Multiplier]))</f>
        <v>0</v>
      </c>
      <c r="F136" s="32">
        <v>31.54</v>
      </c>
      <c r="G136" s="7">
        <v>0</v>
      </c>
      <c r="H136" s="35" t="str">
        <f>IF(dryorder[[#This Row],[Order Price]]*dryorder[[#This Row],[Order Quantity]]=0, "",dryorder[[#This Row],[Order Price]]*dryorder[[#This Row],[Order Quantity]])</f>
        <v/>
      </c>
    </row>
    <row r="137" spans="2:8">
      <c r="B137" s="8" t="str">
        <f>IF('Inventory Status'!B132="","",'Inventory Status'!B132)</f>
        <v>Ground Mustard</v>
      </c>
      <c r="C137" s="8" t="str">
        <f>IF('Inventory Status'!C132="","",'Inventory Status'!C132)</f>
        <v>Seasoning</v>
      </c>
      <c r="D137" s="8" t="str">
        <f>IF('Inventory Status'!D132="","",'Inventory Status'!D132)</f>
        <v>Container</v>
      </c>
      <c r="E137" s="8">
        <f>IF('Inventory Status'!G132*_xlfn.XLOOKUP('Expected Demand'!$C$13,Table33[Demand Level],Table33[Multiplier])="","",'Inventory Status'!G132*_xlfn.XLOOKUP('Expected Demand'!$C$13,Table33[Demand Level],Table33[Multiplier]))</f>
        <v>0</v>
      </c>
      <c r="F137" s="32">
        <v>23.7</v>
      </c>
      <c r="G137" s="7">
        <v>0</v>
      </c>
      <c r="H137" s="35" t="str">
        <f>IF(dryorder[[#This Row],[Order Price]]*dryorder[[#This Row],[Order Quantity]]=0, "",dryorder[[#This Row],[Order Price]]*dryorder[[#This Row],[Order Quantity]])</f>
        <v/>
      </c>
    </row>
    <row r="138" spans="2:8">
      <c r="B138" s="8" t="str">
        <f>IF('Inventory Status'!B133="","",'Inventory Status'!B133)</f>
        <v>Mustard Seeds</v>
      </c>
      <c r="C138" s="8" t="str">
        <f>IF('Inventory Status'!C133="","",'Inventory Status'!C133)</f>
        <v>Seasoning</v>
      </c>
      <c r="D138" s="8" t="str">
        <f>IF('Inventory Status'!D133="","",'Inventory Status'!D133)</f>
        <v>Container</v>
      </c>
      <c r="E138" s="8">
        <f>IF('Inventory Status'!G133*_xlfn.XLOOKUP('Expected Demand'!$C$13,Table33[Demand Level],Table33[Multiplier])="","",'Inventory Status'!G133*_xlfn.XLOOKUP('Expected Demand'!$C$13,Table33[Demand Level],Table33[Multiplier]))</f>
        <v>0.5</v>
      </c>
      <c r="F138" s="32">
        <v>25.63</v>
      </c>
      <c r="G138" s="7">
        <v>1</v>
      </c>
      <c r="H138" s="35">
        <f>IF(dryorder[[#This Row],[Order Price]]*dryorder[[#This Row],[Order Quantity]]=0, "",dryorder[[#This Row],[Order Price]]*dryorder[[#This Row],[Order Quantity]])</f>
        <v>25.63</v>
      </c>
    </row>
    <row r="139" spans="2:8">
      <c r="B139" s="8" t="str">
        <f>IF('Inventory Status'!B134="","",'Inventory Status'!B134)</f>
        <v>Red Pepper Flakes</v>
      </c>
      <c r="C139" s="8" t="str">
        <f>IF('Inventory Status'!C134="","",'Inventory Status'!C134)</f>
        <v>Seasoning</v>
      </c>
      <c r="D139" s="8" t="str">
        <f>IF('Inventory Status'!D134="","",'Inventory Status'!D134)</f>
        <v>Container</v>
      </c>
      <c r="E139" s="8">
        <f>IF('Inventory Status'!G134*_xlfn.XLOOKUP('Expected Demand'!$C$13,Table33[Demand Level],Table33[Multiplier])="","",'Inventory Status'!G134*_xlfn.XLOOKUP('Expected Demand'!$C$13,Table33[Demand Level],Table33[Multiplier]))</f>
        <v>0</v>
      </c>
      <c r="F139" s="32">
        <v>22.31</v>
      </c>
      <c r="G139" s="7">
        <v>0</v>
      </c>
      <c r="H139" s="35" t="str">
        <f>IF(dryorder[[#This Row],[Order Price]]*dryorder[[#This Row],[Order Quantity]]=0, "",dryorder[[#This Row],[Order Price]]*dryorder[[#This Row],[Order Quantity]])</f>
        <v/>
      </c>
    </row>
    <row r="140" spans="2:8">
      <c r="B140" s="8" t="str">
        <f>IF('Inventory Status'!B135="","",'Inventory Status'!B135)</f>
        <v>Onion Powder</v>
      </c>
      <c r="C140" s="8" t="str">
        <f>IF('Inventory Status'!C135="","",'Inventory Status'!C135)</f>
        <v>Seasoning</v>
      </c>
      <c r="D140" s="8" t="str">
        <f>IF('Inventory Status'!D135="","",'Inventory Status'!D135)</f>
        <v>Container</v>
      </c>
      <c r="E140" s="8">
        <f>IF('Inventory Status'!G135*_xlfn.XLOOKUP('Expected Demand'!$C$13,Table33[Demand Level],Table33[Multiplier])="","",'Inventory Status'!G135*_xlfn.XLOOKUP('Expected Demand'!$C$13,Table33[Demand Level],Table33[Multiplier]))</f>
        <v>0</v>
      </c>
      <c r="F140" s="32">
        <v>42.87</v>
      </c>
      <c r="G140" s="7">
        <v>0</v>
      </c>
      <c r="H140" s="35" t="str">
        <f>IF(dryorder[[#This Row],[Order Price]]*dryorder[[#This Row],[Order Quantity]]=0, "",dryorder[[#This Row],[Order Price]]*dryorder[[#This Row],[Order Quantity]])</f>
        <v/>
      </c>
    </row>
    <row r="141" spans="2:8">
      <c r="B141" s="8" t="str">
        <f>IF('Inventory Status'!B136="","",'Inventory Status'!B136)</f>
        <v>Tajín</v>
      </c>
      <c r="C141" s="8" t="str">
        <f>IF('Inventory Status'!C136="","",'Inventory Status'!C136)</f>
        <v>Seasoning</v>
      </c>
      <c r="D141" s="8" t="str">
        <f>IF('Inventory Status'!D136="","",'Inventory Status'!D136)</f>
        <v>Container</v>
      </c>
      <c r="E141" s="8">
        <f>IF('Inventory Status'!G136*_xlfn.XLOOKUP('Expected Demand'!$C$13,Table33[Demand Level],Table33[Multiplier])="","",'Inventory Status'!G136*_xlfn.XLOOKUP('Expected Demand'!$C$13,Table33[Demand Level],Table33[Multiplier]))</f>
        <v>0</v>
      </c>
      <c r="F141" s="32">
        <v>30.73</v>
      </c>
      <c r="G141" s="7">
        <v>0</v>
      </c>
      <c r="H141" s="35" t="str">
        <f>IF(dryorder[[#This Row],[Order Price]]*dryorder[[#This Row],[Order Quantity]]=0, "",dryorder[[#This Row],[Order Price]]*dryorder[[#This Row],[Order Quantity]])</f>
        <v/>
      </c>
    </row>
    <row r="142" spans="2:8">
      <c r="B142" s="8" t="str">
        <f>IF('Inventory Status'!B137="","",'Inventory Status'!B137)</f>
        <v>Cayenne Pepper</v>
      </c>
      <c r="C142" s="8" t="str">
        <f>IF('Inventory Status'!C137="","",'Inventory Status'!C137)</f>
        <v>Seasoning</v>
      </c>
      <c r="D142" s="8" t="str">
        <f>IF('Inventory Status'!D137="","",'Inventory Status'!D137)</f>
        <v>Container</v>
      </c>
      <c r="E142" s="8">
        <f>IF('Inventory Status'!G137*_xlfn.XLOOKUP('Expected Demand'!$C$13,Table33[Demand Level],Table33[Multiplier])="","",'Inventory Status'!G137*_xlfn.XLOOKUP('Expected Demand'!$C$13,Table33[Demand Level],Table33[Multiplier]))</f>
        <v>0</v>
      </c>
      <c r="F142" s="32">
        <v>31.21</v>
      </c>
      <c r="G142" s="7">
        <v>0</v>
      </c>
      <c r="H142" s="35" t="str">
        <f>IF(dryorder[[#This Row],[Order Price]]*dryorder[[#This Row],[Order Quantity]]=0, "",dryorder[[#This Row],[Order Price]]*dryorder[[#This Row],[Order Quantity]])</f>
        <v/>
      </c>
    </row>
    <row r="143" spans="2:8">
      <c r="B143" s="8" t="str">
        <f>IF('Inventory Status'!B138="","",'Inventory Status'!B138)</f>
        <v>Lawry's Garlic Pepper</v>
      </c>
      <c r="C143" s="8" t="str">
        <f>IF('Inventory Status'!C138="","",'Inventory Status'!C138)</f>
        <v>Seasoning</v>
      </c>
      <c r="D143" s="8" t="str">
        <f>IF('Inventory Status'!D138="","",'Inventory Status'!D138)</f>
        <v>Container</v>
      </c>
      <c r="E143" s="8">
        <f>IF('Inventory Status'!G138*_xlfn.XLOOKUP('Expected Demand'!$C$13,Table33[Demand Level],Table33[Multiplier])="","",'Inventory Status'!G138*_xlfn.XLOOKUP('Expected Demand'!$C$13,Table33[Demand Level],Table33[Multiplier]))</f>
        <v>0</v>
      </c>
      <c r="F143" s="32">
        <v>32.15</v>
      </c>
      <c r="G143" s="7">
        <v>0</v>
      </c>
      <c r="H143" s="35" t="str">
        <f>IF(dryorder[[#This Row],[Order Price]]*dryorder[[#This Row],[Order Quantity]]=0, "",dryorder[[#This Row],[Order Price]]*dryorder[[#This Row],[Order Quantity]])</f>
        <v/>
      </c>
    </row>
    <row r="144" spans="2:8">
      <c r="B144" s="8" t="str">
        <f>IF('Inventory Status'!B139="","",'Inventory Status'!B139)</f>
        <v>Big Paper Boxes</v>
      </c>
      <c r="C144" s="8" t="str">
        <f>IF('Inventory Status'!C139="","",'Inventory Status'!C139)</f>
        <v>To-Go</v>
      </c>
      <c r="D144" s="8" t="str">
        <f>IF('Inventory Status'!D139="","",'Inventory Status'!D139)</f>
        <v>Bag</v>
      </c>
      <c r="E144" s="8">
        <f>IF('Inventory Status'!G139*_xlfn.XLOOKUP('Expected Demand'!$C$13,Table33[Demand Level],Table33[Multiplier])="","",'Inventory Status'!G139*_xlfn.XLOOKUP('Expected Demand'!$C$13,Table33[Demand Level],Table33[Multiplier]))</f>
        <v>5</v>
      </c>
      <c r="F144" s="32">
        <v>55.62</v>
      </c>
      <c r="G144" s="7">
        <v>8</v>
      </c>
      <c r="H144" s="35">
        <f>IF(dryorder[[#This Row],[Order Price]]*dryorder[[#This Row],[Order Quantity]]=0, "",dryorder[[#This Row],[Order Price]]*dryorder[[#This Row],[Order Quantity]])</f>
        <v>444.96</v>
      </c>
    </row>
    <row r="145" spans="2:8">
      <c r="B145" s="8" t="str">
        <f>IF('Inventory Status'!B140="","",'Inventory Status'!B140)</f>
        <v>Small Paper Boxes</v>
      </c>
      <c r="C145" s="8" t="str">
        <f>IF('Inventory Status'!C140="","",'Inventory Status'!C140)</f>
        <v>To-Go</v>
      </c>
      <c r="D145" s="8" t="str">
        <f>IF('Inventory Status'!D140="","",'Inventory Status'!D140)</f>
        <v>Bag</v>
      </c>
      <c r="E145" s="8">
        <f>IF('Inventory Status'!G140*_xlfn.XLOOKUP('Expected Demand'!$C$13,Table33[Demand Level],Table33[Multiplier])="","",'Inventory Status'!G140*_xlfn.XLOOKUP('Expected Demand'!$C$13,Table33[Demand Level],Table33[Multiplier]))</f>
        <v>0</v>
      </c>
      <c r="F145" s="32">
        <v>55.62</v>
      </c>
      <c r="G145" s="7">
        <v>0</v>
      </c>
      <c r="H145" s="35" t="str">
        <f>IF(dryorder[[#This Row],[Order Price]]*dryorder[[#This Row],[Order Quantity]]=0, "",dryorder[[#This Row],[Order Price]]*dryorder[[#This Row],[Order Quantity]])</f>
        <v/>
      </c>
    </row>
    <row r="146" spans="2:8">
      <c r="B146" s="8" t="str">
        <f>IF('Inventory Status'!B141="","",'Inventory Status'!B141)</f>
        <v>Big Paper Bags</v>
      </c>
      <c r="C146" s="8" t="str">
        <f>IF('Inventory Status'!C141="","",'Inventory Status'!C141)</f>
        <v>To-Go</v>
      </c>
      <c r="D146" s="8" t="str">
        <f>IF('Inventory Status'!D141="","",'Inventory Status'!D141)</f>
        <v>Box</v>
      </c>
      <c r="E146" s="8">
        <f>IF('Inventory Status'!G141*_xlfn.XLOOKUP('Expected Demand'!$C$13,Table33[Demand Level],Table33[Multiplier])="","",'Inventory Status'!G141*_xlfn.XLOOKUP('Expected Demand'!$C$13,Table33[Demand Level],Table33[Multiplier]))</f>
        <v>0</v>
      </c>
      <c r="F146" s="32">
        <v>53.92</v>
      </c>
      <c r="G146" s="7">
        <v>0</v>
      </c>
      <c r="H146" s="35" t="str">
        <f>IF(dryorder[[#This Row],[Order Price]]*dryorder[[#This Row],[Order Quantity]]=0, "",dryorder[[#This Row],[Order Price]]*dryorder[[#This Row],[Order Quantity]])</f>
        <v/>
      </c>
    </row>
    <row r="147" spans="2:8">
      <c r="B147" s="8" t="str">
        <f>IF('Inventory Status'!B142="","",'Inventory Status'!B142)</f>
        <v>Small Paper Bags</v>
      </c>
      <c r="C147" s="8" t="str">
        <f>IF('Inventory Status'!C142="","",'Inventory Status'!C142)</f>
        <v>To-Go</v>
      </c>
      <c r="D147" s="8" t="str">
        <f>IF('Inventory Status'!D142="","",'Inventory Status'!D142)</f>
        <v>Box</v>
      </c>
      <c r="E147" s="8">
        <f>IF('Inventory Status'!G142*_xlfn.XLOOKUP('Expected Demand'!$C$13,Table33[Demand Level],Table33[Multiplier])="","",'Inventory Status'!G142*_xlfn.XLOOKUP('Expected Demand'!$C$13,Table33[Demand Level],Table33[Multiplier]))</f>
        <v>1</v>
      </c>
      <c r="F147" s="32">
        <v>53.92</v>
      </c>
      <c r="G147" s="7">
        <v>2</v>
      </c>
      <c r="H147" s="35">
        <f>IF(dryorder[[#This Row],[Order Price]]*dryorder[[#This Row],[Order Quantity]]=0, "",dryorder[[#This Row],[Order Price]]*dryorder[[#This Row],[Order Quantity]])</f>
        <v>107.84</v>
      </c>
    </row>
    <row r="148" spans="2:8">
      <c r="B148" s="8" t="str">
        <f>IF('Inventory Status'!B143="","",'Inventory Status'!B143)</f>
        <v>Fry Boxes</v>
      </c>
      <c r="C148" s="8" t="str">
        <f>IF('Inventory Status'!C143="","",'Inventory Status'!C143)</f>
        <v>To-Go</v>
      </c>
      <c r="D148" s="8" t="str">
        <f>IF('Inventory Status'!D143="","",'Inventory Status'!D143)</f>
        <v>Stack</v>
      </c>
      <c r="E148" s="8">
        <f>IF('Inventory Status'!G143*_xlfn.XLOOKUP('Expected Demand'!$C$13,Table33[Demand Level],Table33[Multiplier])="","",'Inventory Status'!G143*_xlfn.XLOOKUP('Expected Demand'!$C$13,Table33[Demand Level],Table33[Multiplier]))</f>
        <v>2</v>
      </c>
      <c r="F148" s="32">
        <v>31.24</v>
      </c>
      <c r="G148" s="7">
        <v>3</v>
      </c>
      <c r="H148" s="35">
        <f>IF(dryorder[[#This Row],[Order Price]]*dryorder[[#This Row],[Order Quantity]]=0, "",dryorder[[#This Row],[Order Price]]*dryorder[[#This Row],[Order Quantity]])</f>
        <v>93.72</v>
      </c>
    </row>
    <row r="149" spans="2:8">
      <c r="B149" s="8" t="str">
        <f>IF('Inventory Status'!B144="","",'Inventory Status'!B144)</f>
        <v>Plastic Forks</v>
      </c>
      <c r="C149" s="8" t="str">
        <f>IF('Inventory Status'!C144="","",'Inventory Status'!C144)</f>
        <v>Utensil</v>
      </c>
      <c r="D149" s="8" t="str">
        <f>IF('Inventory Status'!D144="","",'Inventory Status'!D144)</f>
        <v>Box</v>
      </c>
      <c r="E149" s="8">
        <f>IF('Inventory Status'!G144*_xlfn.XLOOKUP('Expected Demand'!$C$13,Table33[Demand Level],Table33[Multiplier])="","",'Inventory Status'!G144*_xlfn.XLOOKUP('Expected Demand'!$C$13,Table33[Demand Level],Table33[Multiplier]))</f>
        <v>0</v>
      </c>
      <c r="F149" s="32">
        <v>29.08</v>
      </c>
      <c r="G149" s="7">
        <v>0</v>
      </c>
      <c r="H149" s="35" t="str">
        <f>IF(dryorder[[#This Row],[Order Price]]*dryorder[[#This Row],[Order Quantity]]=0, "",dryorder[[#This Row],[Order Price]]*dryorder[[#This Row],[Order Quantity]])</f>
        <v/>
      </c>
    </row>
    <row r="150" spans="2:8">
      <c r="B150" s="8" t="str">
        <f>IF('Inventory Status'!B145="","",'Inventory Status'!B145)</f>
        <v>Plastic Spoons</v>
      </c>
      <c r="C150" s="8" t="str">
        <f>IF('Inventory Status'!C145="","",'Inventory Status'!C145)</f>
        <v>Utensil</v>
      </c>
      <c r="D150" s="8" t="str">
        <f>IF('Inventory Status'!D145="","",'Inventory Status'!D145)</f>
        <v>Box</v>
      </c>
      <c r="E150" s="8">
        <f>IF('Inventory Status'!G145*_xlfn.XLOOKUP('Expected Demand'!$C$13,Table33[Demand Level],Table33[Multiplier])="","",'Inventory Status'!G145*_xlfn.XLOOKUP('Expected Demand'!$C$13,Table33[Demand Level],Table33[Multiplier]))</f>
        <v>0</v>
      </c>
      <c r="F150" s="32">
        <v>29.87</v>
      </c>
      <c r="G150" s="7">
        <v>0</v>
      </c>
      <c r="H150" s="35" t="str">
        <f>IF(dryorder[[#This Row],[Order Price]]*dryorder[[#This Row],[Order Quantity]]=0, "",dryorder[[#This Row],[Order Price]]*dryorder[[#This Row],[Order Quantity]])</f>
        <v/>
      </c>
    </row>
    <row r="151" spans="2:8">
      <c r="B151" s="8" t="str">
        <f>IF('Inventory Status'!B146="","",'Inventory Status'!B146)</f>
        <v>Plastic Knives</v>
      </c>
      <c r="C151" s="8" t="str">
        <f>IF('Inventory Status'!C146="","",'Inventory Status'!C146)</f>
        <v>Utensil</v>
      </c>
      <c r="D151" s="8" t="str">
        <f>IF('Inventory Status'!D146="","",'Inventory Status'!D146)</f>
        <v>Box</v>
      </c>
      <c r="E151" s="8">
        <f>IF('Inventory Status'!G146*_xlfn.XLOOKUP('Expected Demand'!$C$13,Table33[Demand Level],Table33[Multiplier])="","",'Inventory Status'!G146*_xlfn.XLOOKUP('Expected Demand'!$C$13,Table33[Demand Level],Table33[Multiplier]))</f>
        <v>0</v>
      </c>
      <c r="F151" s="32">
        <v>31.41</v>
      </c>
      <c r="G151" s="7">
        <v>0</v>
      </c>
      <c r="H151" s="35" t="str">
        <f>IF(dryorder[[#This Row],[Order Price]]*dryorder[[#This Row],[Order Quantity]]=0, "",dryorder[[#This Row],[Order Price]]*dryorder[[#This Row],[Order Quantity]])</f>
        <v/>
      </c>
    </row>
    <row r="152" spans="2:8">
      <c r="B152" s="8" t="str">
        <f>IF('Inventory Status'!B147="","",'Inventory Status'!B147)</f>
        <v>Side Salad Cup</v>
      </c>
      <c r="C152" s="8" t="str">
        <f>IF('Inventory Status'!C147="","",'Inventory Status'!C147)</f>
        <v>Utensil</v>
      </c>
      <c r="D152" s="8" t="str">
        <f>IF('Inventory Status'!D147="","",'Inventory Status'!D147)</f>
        <v>Bag</v>
      </c>
      <c r="E152" s="8">
        <f>IF('Inventory Status'!G147*_xlfn.XLOOKUP('Expected Demand'!$C$13,Table33[Demand Level],Table33[Multiplier])="","",'Inventory Status'!G147*_xlfn.XLOOKUP('Expected Demand'!$C$13,Table33[Demand Level],Table33[Multiplier]))</f>
        <v>0</v>
      </c>
      <c r="F152" s="32">
        <v>38.340000000000003</v>
      </c>
      <c r="G152" s="7">
        <v>0</v>
      </c>
      <c r="H152" s="35" t="str">
        <f>IF(dryorder[[#This Row],[Order Price]]*dryorder[[#This Row],[Order Quantity]]=0, "",dryorder[[#This Row],[Order Price]]*dryorder[[#This Row],[Order Quantity]])</f>
        <v/>
      </c>
    </row>
    <row r="153" spans="2:8">
      <c r="B153" s="8" t="str">
        <f>IF('Inventory Status'!B148="","",'Inventory Status'!B148)</f>
        <v>Napkins</v>
      </c>
      <c r="C153" s="8" t="str">
        <f>IF('Inventory Status'!C148="","",'Inventory Status'!C148)</f>
        <v>Utensil</v>
      </c>
      <c r="D153" s="8" t="str">
        <f>IF('Inventory Status'!D148="","",'Inventory Status'!D148)</f>
        <v>Bag</v>
      </c>
      <c r="E153" s="8">
        <f>IF('Inventory Status'!G148*_xlfn.XLOOKUP('Expected Demand'!$C$13,Table33[Demand Level],Table33[Multiplier])="","",'Inventory Status'!G148*_xlfn.XLOOKUP('Expected Demand'!$C$13,Table33[Demand Level],Table33[Multiplier]))</f>
        <v>4</v>
      </c>
      <c r="F153" s="32">
        <v>58.19</v>
      </c>
      <c r="G153" s="7">
        <v>1</v>
      </c>
      <c r="H153" s="35">
        <f>IF(dryorder[[#This Row],[Order Price]]*dryorder[[#This Row],[Order Quantity]]=0, "",dryorder[[#This Row],[Order Price]]*dryorder[[#This Row],[Order Quantity]])</f>
        <v>58.19</v>
      </c>
    </row>
    <row r="154" spans="2:8">
      <c r="B154" s="8" t="str">
        <f>IF('Inventory Status'!B149="","",'Inventory Status'!B149)</f>
        <v>Big Straws</v>
      </c>
      <c r="C154" s="8" t="str">
        <f>IF('Inventory Status'!C149="","",'Inventory Status'!C149)</f>
        <v>Utensil</v>
      </c>
      <c r="D154" s="8" t="str">
        <f>IF('Inventory Status'!D149="","",'Inventory Status'!D149)</f>
        <v>Box</v>
      </c>
      <c r="E154" s="8">
        <f>IF('Inventory Status'!G149*_xlfn.XLOOKUP('Expected Demand'!$C$13,Table33[Demand Level],Table33[Multiplier])="","",'Inventory Status'!G149*_xlfn.XLOOKUP('Expected Demand'!$C$13,Table33[Demand Level],Table33[Multiplier]))</f>
        <v>2</v>
      </c>
      <c r="F154" s="32">
        <v>21.64</v>
      </c>
      <c r="G154" s="7">
        <v>1</v>
      </c>
      <c r="H154" s="35">
        <f>IF(dryorder[[#This Row],[Order Price]]*dryorder[[#This Row],[Order Quantity]]=0, "",dryorder[[#This Row],[Order Price]]*dryorder[[#This Row],[Order Quantity]])</f>
        <v>21.64</v>
      </c>
    </row>
    <row r="155" spans="2:8">
      <c r="B155" s="8" t="str">
        <f>IF('Inventory Status'!B150="","",'Inventory Status'!B150)</f>
        <v>Small Straws</v>
      </c>
      <c r="C155" s="8" t="str">
        <f>IF('Inventory Status'!C150="","",'Inventory Status'!C150)</f>
        <v>Utensil</v>
      </c>
      <c r="D155" s="8" t="str">
        <f>IF('Inventory Status'!D150="","",'Inventory Status'!D150)</f>
        <v>Box</v>
      </c>
      <c r="E155" s="8">
        <f>IF('Inventory Status'!G150*_xlfn.XLOOKUP('Expected Demand'!$C$13,Table33[Demand Level],Table33[Multiplier])="","",'Inventory Status'!G150*_xlfn.XLOOKUP('Expected Demand'!$C$13,Table33[Demand Level],Table33[Multiplier]))</f>
        <v>1</v>
      </c>
      <c r="F155" s="32">
        <v>21.64</v>
      </c>
      <c r="G155" s="7">
        <v>1</v>
      </c>
      <c r="H155" s="35">
        <f>IF(dryorder[[#This Row],[Order Price]]*dryorder[[#This Row],[Order Quantity]]=0, "",dryorder[[#This Row],[Order Price]]*dryorder[[#This Row],[Order Quantity]])</f>
        <v>21.64</v>
      </c>
    </row>
    <row r="156" spans="2:8">
      <c r="B156" s="8" t="str">
        <f>IF('Inventory Status'!B151="","",'Inventory Status'!B151)</f>
        <v>BV Plastic Cups</v>
      </c>
      <c r="C156" s="8" t="str">
        <f>IF('Inventory Status'!C151="","",'Inventory Status'!C151)</f>
        <v>Utensil</v>
      </c>
      <c r="D156" s="8" t="str">
        <f>IF('Inventory Status'!D151="","",'Inventory Status'!D151)</f>
        <v>Bag</v>
      </c>
      <c r="E156" s="8">
        <f>IF('Inventory Status'!G151*_xlfn.XLOOKUP('Expected Demand'!$C$13,Table33[Demand Level],Table33[Multiplier])="","",'Inventory Status'!G151*_xlfn.XLOOKUP('Expected Demand'!$C$13,Table33[Demand Level],Table33[Multiplier]))</f>
        <v>14</v>
      </c>
      <c r="F156" s="32">
        <v>57.25</v>
      </c>
      <c r="G156" s="7">
        <v>3</v>
      </c>
      <c r="H156" s="35">
        <f>IF(dryorder[[#This Row],[Order Price]]*dryorder[[#This Row],[Order Quantity]]=0, "",dryorder[[#This Row],[Order Price]]*dryorder[[#This Row],[Order Quantity]])</f>
        <v>171.75</v>
      </c>
    </row>
    <row r="157" spans="2:8">
      <c r="B157" s="8" t="str">
        <f>IF('Inventory Status'!B152="","",'Inventory Status'!B152)</f>
        <v>Sauce Cup</v>
      </c>
      <c r="C157" s="8" t="str">
        <f>IF('Inventory Status'!C152="","",'Inventory Status'!C152)</f>
        <v>Utensil</v>
      </c>
      <c r="D157" s="8" t="str">
        <f>IF('Inventory Status'!D152="","",'Inventory Status'!D152)</f>
        <v>Bag</v>
      </c>
      <c r="E157" s="8">
        <f>IF('Inventory Status'!G152*_xlfn.XLOOKUP('Expected Demand'!$C$13,Table33[Demand Level],Table33[Multiplier])="","",'Inventory Status'!G152*_xlfn.XLOOKUP('Expected Demand'!$C$13,Table33[Demand Level],Table33[Multiplier]))</f>
        <v>3</v>
      </c>
      <c r="F157" s="32">
        <v>67.260000000000005</v>
      </c>
      <c r="G157" s="7">
        <v>2</v>
      </c>
      <c r="H157" s="35">
        <f>IF(dryorder[[#This Row],[Order Price]]*dryorder[[#This Row],[Order Quantity]]=0, "",dryorder[[#This Row],[Order Price]]*dryorder[[#This Row],[Order Quantity]])</f>
        <v>134.52000000000001</v>
      </c>
    </row>
    <row r="158" spans="2:8">
      <c r="B158" s="8" t="str">
        <f>IF('Inventory Status'!B153="","",'Inventory Status'!B153)</f>
        <v>Drink Carrier</v>
      </c>
      <c r="C158" s="8" t="str">
        <f>IF('Inventory Status'!C153="","",'Inventory Status'!C153)</f>
        <v>Utensil</v>
      </c>
      <c r="D158" s="8" t="str">
        <f>IF('Inventory Status'!D153="","",'Inventory Status'!D153)</f>
        <v>Box</v>
      </c>
      <c r="E158" s="8">
        <f>IF('Inventory Status'!G153*_xlfn.XLOOKUP('Expected Demand'!$C$13,Table33[Demand Level],Table33[Multiplier])="","",'Inventory Status'!G153*_xlfn.XLOOKUP('Expected Demand'!$C$13,Table33[Demand Level],Table33[Multiplier]))</f>
        <v>0</v>
      </c>
      <c r="F158" s="32">
        <v>31.53</v>
      </c>
      <c r="G158" s="7">
        <v>0</v>
      </c>
      <c r="H158" s="35" t="str">
        <f>IF(dryorder[[#This Row],[Order Price]]*dryorder[[#This Row],[Order Quantity]]=0, "",dryorder[[#This Row],[Order Price]]*dryorder[[#This Row],[Order Quantity]])</f>
        <v/>
      </c>
    </row>
    <row r="159" spans="2:8">
      <c r="B159" s="8" t="str">
        <f>IF('Inventory Status'!B154="","",'Inventory Status'!B154)</f>
        <v>Soda Lids</v>
      </c>
      <c r="C159" s="8" t="str">
        <f>IF('Inventory Status'!C154="","",'Inventory Status'!C154)</f>
        <v>Utensil</v>
      </c>
      <c r="D159" s="8" t="str">
        <f>IF('Inventory Status'!D154="","",'Inventory Status'!D154)</f>
        <v>Bag</v>
      </c>
      <c r="E159" s="8">
        <f>IF('Inventory Status'!G154*_xlfn.XLOOKUP('Expected Demand'!$C$13,Table33[Demand Level],Table33[Multiplier])="","",'Inventory Status'!G154*_xlfn.XLOOKUP('Expected Demand'!$C$13,Table33[Demand Level],Table33[Multiplier]))</f>
        <v>0</v>
      </c>
      <c r="F159" s="32">
        <v>22.89</v>
      </c>
      <c r="G159" s="7">
        <v>0</v>
      </c>
      <c r="H159" s="35" t="str">
        <f>IF(dryorder[[#This Row],[Order Price]]*dryorder[[#This Row],[Order Quantity]]=0, "",dryorder[[#This Row],[Order Price]]*dryorder[[#This Row],[Order Quantity]])</f>
        <v/>
      </c>
    </row>
    <row r="160" spans="2:8">
      <c r="B160" s="8" t="str">
        <f>IF('Inventory Status'!B155="","",'Inventory Status'!B155)</f>
        <v>Milkshake Lids</v>
      </c>
      <c r="C160" s="8" t="str">
        <f>IF('Inventory Status'!C155="","",'Inventory Status'!C155)</f>
        <v>Utensil</v>
      </c>
      <c r="D160" s="8" t="str">
        <f>IF('Inventory Status'!D155="","",'Inventory Status'!D155)</f>
        <v>Bag</v>
      </c>
      <c r="E160" s="8">
        <f>IF('Inventory Status'!G155*_xlfn.XLOOKUP('Expected Demand'!$C$13,Table33[Demand Level],Table33[Multiplier])="","",'Inventory Status'!G155*_xlfn.XLOOKUP('Expected Demand'!$C$13,Table33[Demand Level],Table33[Multiplier]))</f>
        <v>1</v>
      </c>
      <c r="F160" s="32">
        <v>22.89</v>
      </c>
      <c r="G160" s="7">
        <v>1</v>
      </c>
      <c r="H160" s="35">
        <f>IF(dryorder[[#This Row],[Order Price]]*dryorder[[#This Row],[Order Quantity]]=0, "",dryorder[[#This Row],[Order Price]]*dryorder[[#This Row],[Order Quantity]])</f>
        <v>22.89</v>
      </c>
    </row>
    <row r="161" spans="2:8">
      <c r="B161" s="8" t="str">
        <f>IF('Inventory Status'!B156="","",'Inventory Status'!B156)</f>
        <v>Sauce Cup Lids</v>
      </c>
      <c r="C161" s="8" t="str">
        <f>IF('Inventory Status'!C156="","",'Inventory Status'!C156)</f>
        <v>Utensil</v>
      </c>
      <c r="D161" s="8" t="str">
        <f>IF('Inventory Status'!D156="","",'Inventory Status'!D156)</f>
        <v>Bag</v>
      </c>
      <c r="E161" s="8">
        <f>IF('Inventory Status'!G156*_xlfn.XLOOKUP('Expected Demand'!$C$13,Table33[Demand Level],Table33[Multiplier])="","",'Inventory Status'!G156*_xlfn.XLOOKUP('Expected Demand'!$C$13,Table33[Demand Level],Table33[Multiplier]))</f>
        <v>2</v>
      </c>
      <c r="F161" s="32">
        <v>36.21</v>
      </c>
      <c r="G161" s="7">
        <v>2</v>
      </c>
      <c r="H161" s="35">
        <f>IF(dryorder[[#This Row],[Order Price]]*dryorder[[#This Row],[Order Quantity]]=0, "",dryorder[[#This Row],[Order Price]]*dryorder[[#This Row],[Order Quantity]])</f>
        <v>72.42</v>
      </c>
    </row>
    <row r="162" spans="2:8">
      <c r="B162" s="8" t="str">
        <f>IF('Inventory Status'!B157="","",'Inventory Status'!B157)</f>
        <v/>
      </c>
      <c r="C162" s="8" t="str">
        <f>IF('Inventory Status'!C157="","",'Inventory Status'!C157)</f>
        <v/>
      </c>
      <c r="D162" s="8" t="str">
        <f>IF('Inventory Status'!D157="","",'Inventory Status'!D157)</f>
        <v/>
      </c>
      <c r="E162" s="8"/>
      <c r="F162" s="32"/>
      <c r="G162" s="7"/>
      <c r="H162" s="35" t="str">
        <f>IF(dryorder[[#This Row],[Order Price]]*dryorder[[#This Row],[Order Quantity]]=0, "",dryorder[[#This Row],[Order Price]]*dryorder[[#This Row],[Order Quantity]])</f>
        <v/>
      </c>
    </row>
    <row r="163" spans="2:8">
      <c r="B163" s="8" t="str">
        <f>IF('Inventory Status'!B158="","",'Inventory Status'!B158)</f>
        <v/>
      </c>
      <c r="C163" s="8" t="str">
        <f>IF('Inventory Status'!C158="","",'Inventory Status'!C158)</f>
        <v/>
      </c>
      <c r="D163" s="8" t="str">
        <f>IF('Inventory Status'!D158="","",'Inventory Status'!D158)</f>
        <v/>
      </c>
      <c r="E163" s="8"/>
      <c r="F163" s="32"/>
      <c r="G163" s="7"/>
      <c r="H163" s="35" t="str">
        <f>IF(dryorder[[#This Row],[Order Price]]*dryorder[[#This Row],[Order Quantity]]=0, "",dryorder[[#This Row],[Order Price]]*dryorder[[#This Row],[Order Quantity]])</f>
        <v/>
      </c>
    </row>
    <row r="164" spans="2:8">
      <c r="G164" s="145" t="s">
        <v>180</v>
      </c>
      <c r="H164" s="143">
        <f>SUM(dryorder[Line Price])</f>
        <v>2601.3999999999992</v>
      </c>
    </row>
    <row r="165" spans="2:8">
      <c r="G165" s="145"/>
      <c r="H165" s="143"/>
    </row>
    <row r="166" spans="2:8"/>
    <row r="167" spans="2:8"/>
  </sheetData>
  <mergeCells count="18">
    <mergeCell ref="B80:H80"/>
    <mergeCell ref="G164:G165"/>
    <mergeCell ref="H164:H165"/>
    <mergeCell ref="E7:F7"/>
    <mergeCell ref="G7:H7"/>
    <mergeCell ref="G77:G78"/>
    <mergeCell ref="H77:H78"/>
    <mergeCell ref="B7:C7"/>
    <mergeCell ref="B1:C3"/>
    <mergeCell ref="B31:H31"/>
    <mergeCell ref="B9:H9"/>
    <mergeCell ref="H28:H29"/>
    <mergeCell ref="G28:G29"/>
    <mergeCell ref="G5:H5"/>
    <mergeCell ref="B5:C5"/>
    <mergeCell ref="E2:F3"/>
    <mergeCell ref="G2:H3"/>
    <mergeCell ref="E5:F5"/>
  </mergeCells>
  <phoneticPr fontId="17" type="noConversion"/>
  <conditionalFormatting sqref="E11:E23 E33:E73 E82:E161">
    <cfRule type="cellIs" dxfId="15" priority="2" operator="greaterThan">
      <formula>0</formula>
    </cfRule>
  </conditionalFormatting>
  <conditionalFormatting sqref="H9:H10 H1">
    <cfRule type="cellIs" dxfId="14" priority="25" operator="equal">
      <formula>"NO"</formula>
    </cfRule>
    <cfRule type="cellIs" dxfId="13" priority="26" operator="equal">
      <formula>"YES"</formula>
    </cfRule>
  </conditionalFormatting>
  <conditionalFormatting sqref="H9:H10">
    <cfRule type="containsText" dxfId="12" priority="15" operator="containsText" text="YES">
      <formula>NOT(ISERROR(SEARCH("YES",H9)))</formula>
    </cfRule>
    <cfRule type="containsText" dxfId="11" priority="16" operator="containsText" text="NO">
      <formula>NOT(ISERROR(SEARCH("NO",H9)))</formula>
    </cfRule>
  </conditionalFormatting>
  <conditionalFormatting sqref="H11:H27">
    <cfRule type="cellIs" dxfId="10" priority="6" stopIfTrue="1" operator="notEqual">
      <formula>""</formula>
    </cfRule>
  </conditionalFormatting>
  <conditionalFormatting sqref="H31:H32">
    <cfRule type="containsText" dxfId="9" priority="11" operator="containsText" text="YES">
      <formula>NOT(ISERROR(SEARCH("YES",H31)))</formula>
    </cfRule>
    <cfRule type="containsText" dxfId="8" priority="12" operator="containsText" text="NO">
      <formula>NOT(ISERROR(SEARCH("NO",H31)))</formula>
    </cfRule>
    <cfRule type="cellIs" dxfId="7" priority="13" operator="equal">
      <formula>"NO"</formula>
    </cfRule>
    <cfRule type="cellIs" dxfId="6" priority="14" operator="equal">
      <formula>"YES"</formula>
    </cfRule>
  </conditionalFormatting>
  <conditionalFormatting sqref="H33:H76">
    <cfRule type="cellIs" dxfId="5" priority="4" operator="notEqual">
      <formula>""</formula>
    </cfRule>
  </conditionalFormatting>
  <conditionalFormatting sqref="H80:H81">
    <cfRule type="containsText" dxfId="4" priority="7" operator="containsText" text="YES">
      <formula>NOT(ISERROR(SEARCH("YES",H80)))</formula>
    </cfRule>
    <cfRule type="containsText" dxfId="3" priority="8" operator="containsText" text="NO">
      <formula>NOT(ISERROR(SEARCH("NO",H80)))</formula>
    </cfRule>
    <cfRule type="cellIs" dxfId="2" priority="9" operator="equal">
      <formula>"NO"</formula>
    </cfRule>
    <cfRule type="cellIs" dxfId="1" priority="10" operator="equal">
      <formula>"YES"</formula>
    </cfRule>
  </conditionalFormatting>
  <conditionalFormatting sqref="H82:H163">
    <cfRule type="cellIs" dxfId="0" priority="3" operator="notEqual">
      <formula>""</formula>
    </cfRule>
  </conditionalFormatting>
  <pageMargins left="0.7" right="0.7" top="0.75" bottom="0.75" header="0.3" footer="0.3"/>
  <ignoredErrors>
    <ignoredError sqref="H11" calculatedColumn="1"/>
  </ignoredErrors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B8FA2E-6423-634A-92B4-86976332F4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Dashboard</vt:lpstr>
      <vt:lpstr>Inventory Status</vt:lpstr>
      <vt:lpstr>Expected Demand</vt:lpstr>
      <vt:lpstr>Order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Jameson Bortnem</dc:creator>
  <cp:lastModifiedBy>Jameson Bortnem</cp:lastModifiedBy>
  <dcterms:created xsi:type="dcterms:W3CDTF">2026-02-04T20:48:31Z</dcterms:created>
  <dcterms:modified xsi:type="dcterms:W3CDTF">2026-04-16T22:08:46Z</dcterms:modified>
</cp:coreProperties>
</file>