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0"/>
  <workbookPr defaultThemeVersion="202300"/>
  <mc:AlternateContent xmlns:mc="http://schemas.openxmlformats.org/markup-compatibility/2006">
    <mc:Choice Requires="x15">
      <x15ac:absPath xmlns:x15ac="http://schemas.microsoft.com/office/spreadsheetml/2010/11/ac" url="/Users/jameybortnem/Documents/Professional/Projects/"/>
    </mc:Choice>
  </mc:AlternateContent>
  <xr:revisionPtr revIDLastSave="0" documentId="8_{A4805ADA-B295-E24B-B0A9-C67825C7FF4F}" xr6:coauthVersionLast="47" xr6:coauthVersionMax="47" xr10:uidLastSave="{00000000-0000-0000-0000-000000000000}"/>
  <bookViews>
    <workbookView xWindow="0" yWindow="580" windowWidth="28800" windowHeight="18060" xr2:uid="{A9419914-7169-354A-95BE-F63490C061A1}"/>
  </bookViews>
  <sheets>
    <sheet name="Introduction" sheetId="8" r:id="rId1"/>
    <sheet name="Client Profile" sheetId="1" r:id="rId2"/>
    <sheet name="Key Assumptions" sheetId="2" r:id="rId3"/>
    <sheet name="Financial Position" sheetId="4" r:id="rId4"/>
    <sheet name="Cash-Flow &amp; Budget" sheetId="5" r:id="rId5"/>
    <sheet name="Emergency Fund" sheetId="9" r:id="rId6"/>
    <sheet name="Debt Payoff" sheetId="6" r:id="rId7"/>
    <sheet name="Planning Dashboard" sheetId="7"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D10" i="8" l="1"/>
  <c r="D22" i="8"/>
  <c r="D20" i="8"/>
  <c r="D18" i="8"/>
  <c r="D16" i="8"/>
  <c r="D14" i="8"/>
  <c r="D12" i="8"/>
  <c r="D8" i="8"/>
  <c r="G15" i="9"/>
  <c r="G16" i="9"/>
  <c r="D16" i="9"/>
  <c r="F15" i="9"/>
  <c r="E15" i="9"/>
  <c r="D15" i="9"/>
  <c r="C29" i="6" l="1"/>
  <c r="C28" i="6"/>
  <c r="C27" i="6"/>
  <c r="C31" i="6"/>
  <c r="C10" i="6" s="1"/>
  <c r="G8" i="7" s="1"/>
  <c r="C11" i="9"/>
  <c r="C5" i="9"/>
  <c r="C9" i="9"/>
  <c r="C26" i="9" s="1"/>
  <c r="C7" i="9"/>
  <c r="C2" i="9"/>
  <c r="B2" i="9"/>
  <c r="I35" i="6"/>
  <c r="D30" i="6" s="1"/>
  <c r="C16" i="5"/>
  <c r="E16" i="5" s="1"/>
  <c r="C2" i="7"/>
  <c r="C2" i="6"/>
  <c r="C2" i="5"/>
  <c r="C2" i="4"/>
  <c r="C2" i="2"/>
  <c r="B2" i="7"/>
  <c r="B2" i="6"/>
  <c r="B2" i="5"/>
  <c r="B2" i="4"/>
  <c r="B2" i="2"/>
  <c r="C30" i="6"/>
  <c r="C26" i="6"/>
  <c r="C24" i="6"/>
  <c r="C25" i="6"/>
  <c r="F19" i="6"/>
  <c r="G19" i="6"/>
  <c r="I19" i="6" s="1"/>
  <c r="E19" i="6"/>
  <c r="F18" i="6"/>
  <c r="G18" i="6"/>
  <c r="I18" i="6" s="1"/>
  <c r="E18" i="6"/>
  <c r="C18" i="6"/>
  <c r="C19" i="6"/>
  <c r="B19" i="6"/>
  <c r="B18" i="6"/>
  <c r="H20" i="6"/>
  <c r="F15" i="6"/>
  <c r="G15" i="6"/>
  <c r="F16" i="6"/>
  <c r="G16" i="6"/>
  <c r="I16" i="6" s="1"/>
  <c r="F17" i="6"/>
  <c r="G17" i="6"/>
  <c r="I17" i="6" s="1"/>
  <c r="E16" i="6"/>
  <c r="E17" i="6"/>
  <c r="E15" i="6"/>
  <c r="C15" i="6"/>
  <c r="C16" i="6"/>
  <c r="C17" i="6"/>
  <c r="B16" i="6"/>
  <c r="B17" i="6"/>
  <c r="B15" i="6"/>
  <c r="C9" i="6"/>
  <c r="C8" i="6"/>
  <c r="C30" i="4" a="1"/>
  <c r="C30" i="4" s="1"/>
  <c r="C37" i="4" s="1"/>
  <c r="E26" i="5"/>
  <c r="E27" i="5"/>
  <c r="E28" i="5"/>
  <c r="E25" i="5"/>
  <c r="C13" i="5"/>
  <c r="E13" i="5" s="1"/>
  <c r="C14" i="5"/>
  <c r="E14" i="5" s="1"/>
  <c r="C15" i="5"/>
  <c r="E15" i="5" s="1"/>
  <c r="C17" i="5"/>
  <c r="E17" i="5" s="1"/>
  <c r="C18" i="5"/>
  <c r="E18" i="5" s="1"/>
  <c r="C19" i="5"/>
  <c r="E19" i="5" s="1"/>
  <c r="C20" i="5"/>
  <c r="E20" i="5" s="1"/>
  <c r="C12" i="5"/>
  <c r="E12" i="5" s="1"/>
  <c r="C30" i="2"/>
  <c r="C34" i="2" s="1"/>
  <c r="C6" i="9" s="1"/>
  <c r="C37" i="5"/>
  <c r="D29" i="5"/>
  <c r="C34" i="5" s="1"/>
  <c r="C29" i="5"/>
  <c r="D21" i="5"/>
  <c r="C33" i="5" s="1"/>
  <c r="B12" i="5"/>
  <c r="B13" i="5"/>
  <c r="B14" i="5"/>
  <c r="B15" i="5"/>
  <c r="B16" i="5"/>
  <c r="B17" i="5"/>
  <c r="B18" i="5"/>
  <c r="B19" i="5"/>
  <c r="B20" i="5"/>
  <c r="D8" i="5"/>
  <c r="C32" i="5" s="1"/>
  <c r="C7" i="5"/>
  <c r="E7" i="5" s="1"/>
  <c r="C29" i="4"/>
  <c r="F23" i="4"/>
  <c r="C7" i="6" s="1"/>
  <c r="D23" i="4"/>
  <c r="C27" i="4" s="1"/>
  <c r="D14" i="4"/>
  <c r="C26" i="4" s="1"/>
  <c r="C12" i="2"/>
  <c r="C13" i="2" s="1"/>
  <c r="C5" i="2"/>
  <c r="C33" i="4" l="1"/>
  <c r="C36" i="5"/>
  <c r="E8" i="7" s="1"/>
  <c r="H35" i="6"/>
  <c r="C8" i="9"/>
  <c r="C18" i="9"/>
  <c r="C33" i="9"/>
  <c r="C16" i="9"/>
  <c r="C31" i="9"/>
  <c r="C25" i="9"/>
  <c r="C10" i="9"/>
  <c r="C17" i="9"/>
  <c r="C32" i="9"/>
  <c r="C24" i="9"/>
  <c r="C29" i="9"/>
  <c r="C36" i="9"/>
  <c r="C28" i="9"/>
  <c r="C20" i="9"/>
  <c r="C38" i="9"/>
  <c r="C22" i="9"/>
  <c r="C37" i="9"/>
  <c r="C21" i="9"/>
  <c r="C35" i="9"/>
  <c r="C27" i="9"/>
  <c r="C23" i="9"/>
  <c r="C30" i="9"/>
  <c r="C19" i="9"/>
  <c r="C34" i="9"/>
  <c r="F8" i="7"/>
  <c r="F36" i="6"/>
  <c r="F37" i="6" s="1"/>
  <c r="F38" i="6" s="1"/>
  <c r="F39" i="6" s="1"/>
  <c r="F40" i="6" s="1"/>
  <c r="F41" i="6" s="1"/>
  <c r="F42" i="6" s="1"/>
  <c r="F43" i="6" s="1"/>
  <c r="F44" i="6" s="1"/>
  <c r="F45" i="6" s="1"/>
  <c r="F46" i="6" s="1"/>
  <c r="F47" i="6" s="1"/>
  <c r="F48" i="6" s="1"/>
  <c r="F49" i="6" s="1"/>
  <c r="F50" i="6" s="1"/>
  <c r="F51" i="6" s="1"/>
  <c r="F52" i="6" s="1"/>
  <c r="F53" i="6" s="1"/>
  <c r="F54" i="6" s="1"/>
  <c r="F55" i="6" s="1"/>
  <c r="F56" i="6" s="1"/>
  <c r="F57" i="6" s="1"/>
  <c r="F58" i="6" s="1"/>
  <c r="F59" i="6" s="1"/>
  <c r="F60" i="6" s="1"/>
  <c r="F61" i="6" s="1"/>
  <c r="F62" i="6" s="1"/>
  <c r="F63" i="6" s="1"/>
  <c r="F64" i="6" s="1"/>
  <c r="F65" i="6" s="1"/>
  <c r="D36" i="6"/>
  <c r="D37" i="6" s="1"/>
  <c r="D38" i="6" s="1"/>
  <c r="D39" i="6" s="1"/>
  <c r="D40" i="6" s="1"/>
  <c r="D41" i="6" s="1"/>
  <c r="D42" i="6" s="1"/>
  <c r="D43" i="6" s="1"/>
  <c r="D44" i="6" s="1"/>
  <c r="D45" i="6" s="1"/>
  <c r="D46" i="6" s="1"/>
  <c r="D47" i="6" s="1"/>
  <c r="D48" i="6" s="1"/>
  <c r="D49" i="6" s="1"/>
  <c r="D50" i="6" s="1"/>
  <c r="D51" i="6" s="1"/>
  <c r="D52" i="6" s="1"/>
  <c r="D53" i="6" s="1"/>
  <c r="D54" i="6" s="1"/>
  <c r="D55" i="6" s="1"/>
  <c r="D56" i="6" s="1"/>
  <c r="D57" i="6" s="1"/>
  <c r="G36" i="6"/>
  <c r="G37" i="6" s="1"/>
  <c r="G38" i="6" s="1"/>
  <c r="G39" i="6" s="1"/>
  <c r="G40" i="6" s="1"/>
  <c r="G41" i="6" s="1"/>
  <c r="G42" i="6" s="1"/>
  <c r="G43" i="6" s="1"/>
  <c r="G44" i="6" s="1"/>
  <c r="G45" i="6" s="1"/>
  <c r="G46" i="6" s="1"/>
  <c r="G47" i="6" s="1"/>
  <c r="G48" i="6" s="1"/>
  <c r="G49" i="6" s="1"/>
  <c r="G50" i="6" s="1"/>
  <c r="G51" i="6" s="1"/>
  <c r="G52" i="6" s="1"/>
  <c r="G53" i="6" s="1"/>
  <c r="G54" i="6" s="1"/>
  <c r="G55" i="6" s="1"/>
  <c r="G56" i="6" s="1"/>
  <c r="G57" i="6" s="1"/>
  <c r="G58" i="6" s="1"/>
  <c r="G59" i="6" s="1"/>
  <c r="G60" i="6" s="1"/>
  <c r="G61" i="6" s="1"/>
  <c r="G62" i="6" s="1"/>
  <c r="G63" i="6" s="1"/>
  <c r="G64" i="6" s="1"/>
  <c r="G65" i="6" s="1"/>
  <c r="G66" i="6" s="1"/>
  <c r="G67" i="6" s="1"/>
  <c r="E36" i="6"/>
  <c r="E37" i="6" s="1"/>
  <c r="E38" i="6" s="1"/>
  <c r="E39" i="6" s="1"/>
  <c r="E40" i="6" s="1"/>
  <c r="E41" i="6" s="1"/>
  <c r="E42" i="6" s="1"/>
  <c r="E43" i="6" s="1"/>
  <c r="E44" i="6" s="1"/>
  <c r="E45" i="6" s="1"/>
  <c r="E46" i="6" s="1"/>
  <c r="E47" i="6" s="1"/>
  <c r="E48" i="6" s="1"/>
  <c r="E49" i="6" s="1"/>
  <c r="E50" i="6" s="1"/>
  <c r="E51" i="6" s="1"/>
  <c r="E52" i="6" s="1"/>
  <c r="E53" i="6" s="1"/>
  <c r="E54" i="6" s="1"/>
  <c r="E55" i="6" s="1"/>
  <c r="E56" i="6" s="1"/>
  <c r="E57" i="6" s="1"/>
  <c r="E58" i="6" s="1"/>
  <c r="E59" i="6" s="1"/>
  <c r="E60" i="6" s="1"/>
  <c r="E61" i="6" s="1"/>
  <c r="E62" i="6" s="1"/>
  <c r="E63" i="6" s="1"/>
  <c r="E64" i="6" s="1"/>
  <c r="D24" i="6"/>
  <c r="D26" i="6"/>
  <c r="E20" i="6"/>
  <c r="C8" i="7" s="1"/>
  <c r="G20" i="6"/>
  <c r="I15" i="6"/>
  <c r="C35" i="4"/>
  <c r="C36" i="4"/>
  <c r="E29" i="5"/>
  <c r="C35" i="5"/>
  <c r="D8" i="7" s="1"/>
  <c r="C21" i="5"/>
  <c r="E21" i="5" s="1"/>
  <c r="C15" i="2"/>
  <c r="C16" i="2" s="1"/>
  <c r="C6" i="5" s="1"/>
  <c r="E6" i="5" s="1"/>
  <c r="C28" i="4"/>
  <c r="B8" i="7" s="1"/>
  <c r="I20" i="6" l="1"/>
  <c r="F66" i="6" s="1"/>
  <c r="F67" i="6" s="1"/>
  <c r="F68" i="6" s="1"/>
  <c r="F69" i="6" s="1"/>
  <c r="F70" i="6" s="1"/>
  <c r="F71" i="6" s="1"/>
  <c r="F72" i="6" s="1"/>
  <c r="F73" i="6" s="1"/>
  <c r="F74" i="6" s="1"/>
  <c r="F75" i="6" s="1"/>
  <c r="C36" i="6"/>
  <c r="D58" i="6"/>
  <c r="C8" i="5"/>
  <c r="D59" i="6" l="1"/>
  <c r="D60" i="6" s="1"/>
  <c r="D61" i="6" s="1"/>
  <c r="D62" i="6" s="1"/>
  <c r="D63" i="6" s="1"/>
  <c r="D64" i="6" s="1"/>
  <c r="D65" i="6" s="1"/>
  <c r="D66" i="6" s="1"/>
  <c r="D67" i="6" s="1"/>
  <c r="D68" i="6" s="1"/>
  <c r="D69" i="6" s="1"/>
  <c r="D70" i="6" s="1"/>
  <c r="D71" i="6" s="1"/>
  <c r="D72" i="6" s="1"/>
  <c r="D73" i="6" s="1"/>
  <c r="D74" i="6" s="1"/>
  <c r="D75" i="6" s="1"/>
  <c r="G68" i="6"/>
  <c r="G69" i="6" s="1"/>
  <c r="G70" i="6" s="1"/>
  <c r="G71" i="6" s="1"/>
  <c r="G72" i="6" s="1"/>
  <c r="G73" i="6" s="1"/>
  <c r="G74" i="6" s="1"/>
  <c r="G75" i="6" s="1"/>
  <c r="E65" i="6"/>
  <c r="E66" i="6" s="1"/>
  <c r="E67" i="6" s="1"/>
  <c r="E68" i="6" s="1"/>
  <c r="E69" i="6" s="1"/>
  <c r="E70" i="6" s="1"/>
  <c r="E71" i="6" s="1"/>
  <c r="E72" i="6" s="1"/>
  <c r="E73" i="6" s="1"/>
  <c r="E74" i="6" s="1"/>
  <c r="E75" i="6" s="1"/>
  <c r="I36" i="6"/>
  <c r="H36" i="6"/>
  <c r="C37" i="6"/>
  <c r="E8" i="5"/>
  <c r="C34" i="4"/>
  <c r="I37" i="6" l="1"/>
  <c r="H37" i="6"/>
  <c r="C38" i="6"/>
  <c r="I38" i="6" l="1"/>
  <c r="H38" i="6"/>
  <c r="C39" i="6"/>
  <c r="I39" i="6" l="1"/>
  <c r="H39" i="6"/>
  <c r="C40" i="6"/>
  <c r="H40" i="6" l="1"/>
  <c r="I40" i="6"/>
  <c r="C41" i="6"/>
  <c r="H41" i="6" l="1"/>
  <c r="I41" i="6"/>
  <c r="C42" i="6"/>
  <c r="I42" i="6" l="1"/>
  <c r="H42" i="6"/>
  <c r="C43" i="6"/>
  <c r="I43" i="6" l="1"/>
  <c r="H43" i="6"/>
  <c r="C44" i="6"/>
  <c r="H44" i="6" l="1"/>
  <c r="I44" i="6"/>
  <c r="C45" i="6"/>
  <c r="I45" i="6" l="1"/>
  <c r="H45" i="6"/>
  <c r="C46" i="6"/>
  <c r="I46" i="6" l="1"/>
  <c r="H46" i="6"/>
  <c r="C47" i="6"/>
  <c r="I47" i="6" l="1"/>
  <c r="H47" i="6"/>
  <c r="C48" i="6"/>
  <c r="I48" i="6" l="1"/>
  <c r="H48" i="6"/>
  <c r="C49" i="6"/>
  <c r="I49" i="6" l="1"/>
  <c r="H49" i="6"/>
  <c r="C50" i="6"/>
  <c r="I50" i="6" l="1"/>
  <c r="H50" i="6"/>
  <c r="C51" i="6"/>
  <c r="I51" i="6" l="1"/>
  <c r="H51" i="6"/>
  <c r="C52" i="6"/>
  <c r="I52" i="6" l="1"/>
  <c r="H52" i="6"/>
  <c r="C53" i="6"/>
  <c r="H53" i="6" l="1"/>
  <c r="I53" i="6"/>
  <c r="C54" i="6"/>
  <c r="I54" i="6" l="1"/>
  <c r="H54" i="6"/>
  <c r="C55" i="6"/>
  <c r="I55" i="6" l="1"/>
  <c r="H55" i="6"/>
  <c r="C56" i="6"/>
  <c r="I56" i="6" l="1"/>
  <c r="H56" i="6"/>
  <c r="C57" i="6"/>
  <c r="H57" i="6" l="1"/>
  <c r="I57" i="6"/>
  <c r="C58" i="6"/>
  <c r="D25" i="6"/>
  <c r="I58" i="6" l="1"/>
  <c r="H58" i="6"/>
  <c r="C59" i="6"/>
  <c r="I59" i="6" l="1"/>
  <c r="H59" i="6"/>
  <c r="C60" i="6"/>
  <c r="H60" i="6" l="1"/>
  <c r="I60" i="6"/>
  <c r="C61" i="6"/>
  <c r="I61" i="6" l="1"/>
  <c r="H61" i="6"/>
  <c r="C62" i="6"/>
  <c r="I62" i="6" l="1"/>
  <c r="H62" i="6"/>
  <c r="C63" i="6"/>
  <c r="I63" i="6" l="1"/>
  <c r="D27" i="6" s="1"/>
  <c r="H63" i="6"/>
  <c r="C64" i="6"/>
  <c r="I64" i="6" l="1"/>
  <c r="H64" i="6"/>
  <c r="C65" i="6"/>
  <c r="I65" i="6" l="1"/>
  <c r="H65" i="6"/>
  <c r="C66" i="6"/>
  <c r="I66" i="6" l="1"/>
  <c r="D28" i="6" s="1"/>
  <c r="H66" i="6"/>
  <c r="C67" i="6"/>
  <c r="I67" i="6" l="1"/>
  <c r="H67" i="6"/>
  <c r="C68" i="6"/>
  <c r="I68" i="6" l="1"/>
  <c r="H68" i="6"/>
  <c r="C69" i="6"/>
  <c r="H69" i="6" l="1"/>
  <c r="I69" i="6"/>
  <c r="D29" i="6" s="1"/>
  <c r="C70" i="6"/>
  <c r="I70" i="6" l="1"/>
  <c r="H70" i="6"/>
  <c r="C71" i="6"/>
  <c r="I71" i="6" l="1"/>
  <c r="H71" i="6"/>
  <c r="C72" i="6"/>
  <c r="I72" i="6" l="1"/>
  <c r="H72" i="6"/>
  <c r="C73" i="6"/>
  <c r="H73" i="6" l="1"/>
  <c r="I73" i="6"/>
  <c r="C74" i="6"/>
  <c r="I74" i="6" l="1"/>
  <c r="H74" i="6"/>
  <c r="C75" i="6"/>
  <c r="I75" i="6" l="1"/>
  <c r="D31" i="6" s="1"/>
  <c r="H75" i="6"/>
  <c r="C11" i="6" l="1"/>
  <c r="E16" i="9" l="1"/>
  <c r="F16" i="9" s="1"/>
  <c r="D17" i="9" l="1"/>
  <c r="E17" i="9" s="1"/>
  <c r="F17" i="9" l="1"/>
  <c r="D18" i="9"/>
  <c r="E18" i="9" s="1"/>
  <c r="G17" i="9"/>
  <c r="G18" i="9" l="1"/>
  <c r="D19" i="9"/>
  <c r="E19" i="9" s="1"/>
  <c r="F18" i="9"/>
  <c r="D20" i="9" l="1"/>
  <c r="G19" i="9"/>
  <c r="F19" i="9"/>
  <c r="E20" i="9"/>
  <c r="G20" i="9" l="1"/>
  <c r="D21" i="9"/>
  <c r="E21" i="9" s="1"/>
  <c r="F20" i="9"/>
  <c r="F21" i="9" l="1"/>
  <c r="D22" i="9"/>
  <c r="E22" i="9" s="1"/>
  <c r="G21" i="9"/>
  <c r="G22" i="9" l="1"/>
  <c r="F22" i="9"/>
  <c r="D23" i="9"/>
  <c r="E23" i="9" s="1"/>
  <c r="D24" i="9" l="1"/>
  <c r="E24" i="9" s="1"/>
  <c r="F23" i="9"/>
  <c r="G23" i="9"/>
  <c r="G24" i="9" l="1"/>
  <c r="D25" i="9"/>
  <c r="E25" i="9" s="1"/>
  <c r="F24" i="9"/>
  <c r="D26" i="9" l="1"/>
  <c r="E26" i="9" s="1"/>
  <c r="F25" i="9"/>
  <c r="G25" i="9"/>
  <c r="G26" i="9" l="1"/>
  <c r="F26" i="9"/>
  <c r="D27" i="9"/>
  <c r="E27" i="9" s="1"/>
  <c r="D28" i="9" l="1"/>
  <c r="G27" i="9"/>
  <c r="F27" i="9"/>
  <c r="E28" i="9"/>
  <c r="G28" i="9" l="1"/>
  <c r="D29" i="9"/>
  <c r="E29" i="9" s="1"/>
  <c r="F28" i="9"/>
  <c r="D30" i="9" l="1"/>
  <c r="F29" i="9"/>
  <c r="G29" i="9"/>
  <c r="E30" i="9"/>
  <c r="G30" i="9" l="1"/>
  <c r="F30" i="9"/>
  <c r="D31" i="9"/>
  <c r="E31" i="9" s="1"/>
  <c r="D32" i="9" l="1"/>
  <c r="E32" i="9" s="1"/>
  <c r="F31" i="9"/>
  <c r="G31" i="9"/>
  <c r="G32" i="9" l="1"/>
  <c r="D33" i="9"/>
  <c r="E33" i="9" s="1"/>
  <c r="F32" i="9"/>
  <c r="D34" i="9" l="1"/>
  <c r="E34" i="9" s="1"/>
  <c r="F33" i="9"/>
  <c r="G33" i="9"/>
  <c r="G34" i="9" l="1"/>
  <c r="F34" i="9"/>
  <c r="D35" i="9"/>
  <c r="E35" i="9" s="1"/>
  <c r="D36" i="9" l="1"/>
  <c r="F35" i="9"/>
  <c r="G35" i="9"/>
  <c r="E36" i="9"/>
  <c r="G36" i="9" l="1"/>
  <c r="D37" i="9"/>
  <c r="E37" i="9" s="1"/>
  <c r="F36" i="9"/>
  <c r="D38" i="9" l="1"/>
  <c r="E38" i="9" s="1"/>
  <c r="F37" i="9"/>
  <c r="G37" i="9"/>
  <c r="F38" i="9" l="1"/>
  <c r="G38" i="9"/>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<sst xmlns="http://schemas.openxmlformats.org/spreadsheetml/2006/main" count="346" uniqueCount="277">
  <si>
    <t>Client Profile</t>
  </si>
  <si>
    <t>Planning Dashboard</t>
  </si>
  <si>
    <t>Name</t>
  </si>
  <si>
    <t>Age</t>
  </si>
  <si>
    <t>Client Summary</t>
  </si>
  <si>
    <t>Location</t>
  </si>
  <si>
    <t>Risk Tolerance</t>
  </si>
  <si>
    <t>Tax Filing Status</t>
  </si>
  <si>
    <t>Retirement</t>
  </si>
  <si>
    <t>Debt</t>
  </si>
  <si>
    <t>Planning Scope</t>
  </si>
  <si>
    <t>Dependents</t>
  </si>
  <si>
    <t>Occupation</t>
  </si>
  <si>
    <t>Annual Gross Income</t>
  </si>
  <si>
    <t>Risk &amp; Constraints</t>
  </si>
  <si>
    <t>Liquidity Need</t>
  </si>
  <si>
    <t>Debt Tolerance</t>
  </si>
  <si>
    <t>Cash Flow &amp; Budget</t>
  </si>
  <si>
    <t>Personal &amp; Timeline</t>
  </si>
  <si>
    <t>Current Age</t>
  </si>
  <si>
    <t>Desired Retirement Age</t>
  </si>
  <si>
    <t>Planning Horizon (Years)</t>
  </si>
  <si>
    <t>Expected Annual Raise (%)</t>
  </si>
  <si>
    <t>Transportation</t>
  </si>
  <si>
    <t>Savings &amp; Goals</t>
  </si>
  <si>
    <t>Income</t>
  </si>
  <si>
    <t>Monthly Expenses</t>
  </si>
  <si>
    <t>Assets</t>
  </si>
  <si>
    <t>Checking</t>
  </si>
  <si>
    <t>Savings</t>
  </si>
  <si>
    <t>Liabilities</t>
  </si>
  <si>
    <t>Total Assets</t>
  </si>
  <si>
    <t>Total Liabilities</t>
  </si>
  <si>
    <t>Key Ratios</t>
  </si>
  <si>
    <t>Savings Rate</t>
  </si>
  <si>
    <t>Monthly Income</t>
  </si>
  <si>
    <t>Variance</t>
  </si>
  <si>
    <t>Category</t>
  </si>
  <si>
    <t>Monthly Surplus/Deficit</t>
  </si>
  <si>
    <t>Payoff Schedule</t>
  </si>
  <si>
    <t>Total Minimum Payments</t>
  </si>
  <si>
    <t>Creditor</t>
  </si>
  <si>
    <t>Current Balance</t>
  </si>
  <si>
    <t>Minimum Payment</t>
  </si>
  <si>
    <t>APR</t>
  </si>
  <si>
    <t>Goals</t>
  </si>
  <si>
    <t>Primary Goal</t>
  </si>
  <si>
    <t>Secondary Goal</t>
  </si>
  <si>
    <t>Long-Term Goal</t>
  </si>
  <si>
    <t>Marital Status</t>
  </si>
  <si>
    <t>Portland, OR</t>
  </si>
  <si>
    <t>Marketing Manager</t>
  </si>
  <si>
    <t>Single</t>
  </si>
  <si>
    <t>None</t>
  </si>
  <si>
    <t>Values, Concerns, &amp; Behavior</t>
  </si>
  <si>
    <t>Main Priority</t>
  </si>
  <si>
    <t>Primary Financial Concern</t>
  </si>
  <si>
    <t>Secondary Financial Concern</t>
  </si>
  <si>
    <t>No cash buffer for unexpected expenses</t>
  </si>
  <si>
    <t>Financial stability before aggressive investing</t>
  </si>
  <si>
    <t>Advising Preference</t>
  </si>
  <si>
    <t>Tends to overspend on discretionary categories</t>
  </si>
  <si>
    <t>Begin consistent retirement saving at 8% of gross income</t>
  </si>
  <si>
    <t>High-interest credit card debt</t>
  </si>
  <si>
    <t>Behavior</t>
  </si>
  <si>
    <t>Simple planning with clear steps</t>
  </si>
  <si>
    <t>Investment Comfort</t>
  </si>
  <si>
    <t xml:space="preserve"> • Current financial position review</t>
  </si>
  <si>
    <t xml:space="preserve"> • Cash-flow &amp; monthly-budget analysis</t>
  </si>
  <si>
    <t xml:space="preserve"> • Debt payoff strategy</t>
  </si>
  <si>
    <t xml:space="preserve"> • Emergency fund target</t>
  </si>
  <si>
    <t xml:space="preserve"> • Planning dashboard &amp; next actions</t>
  </si>
  <si>
    <t>Moderate</t>
  </si>
  <si>
    <t>High until emergency fund is established</t>
  </si>
  <si>
    <t>Prefers cash savings before additional market investments</t>
  </si>
  <si>
    <t>Low</t>
  </si>
  <si>
    <t>Limited monthly cash-flow surplus</t>
  </si>
  <si>
    <t>Christopher Miller</t>
  </si>
  <si>
    <t>Key Assumptions</t>
  </si>
  <si>
    <t>Planning Start Year</t>
  </si>
  <si>
    <t>Life Expectancy</t>
  </si>
  <si>
    <t>Monthly Gross Income</t>
  </si>
  <si>
    <t>Effective Tax Rate</t>
  </si>
  <si>
    <t>Annual Net Income</t>
  </si>
  <si>
    <t>Groceries</t>
  </si>
  <si>
    <t>Dining &amp; Entertainment</t>
  </si>
  <si>
    <t>Monthly Emergency Fund Contribution</t>
  </si>
  <si>
    <t>Monthly Retirement Contribution</t>
  </si>
  <si>
    <t>Home Down-Payment Time Horizon (Years)</t>
  </si>
  <si>
    <t>General Inflation Rate</t>
  </si>
  <si>
    <t>Buffer/Contingency %</t>
  </si>
  <si>
    <t>Planning</t>
  </si>
  <si>
    <t>Goal Priority Rule</t>
  </si>
  <si>
    <t>Debt Payoff Method</t>
  </si>
  <si>
    <t>Avalanche</t>
  </si>
  <si>
    <t>Payment Priority Rule</t>
  </si>
  <si>
    <t>Cash</t>
  </si>
  <si>
    <t>Investments</t>
  </si>
  <si>
    <t>401(k)</t>
  </si>
  <si>
    <t>Roth IRA</t>
  </si>
  <si>
    <t>Brokerage</t>
  </si>
  <si>
    <t>Vehicle</t>
  </si>
  <si>
    <t>Home</t>
  </si>
  <si>
    <t>Credit Card</t>
  </si>
  <si>
    <t>Student Loan</t>
  </si>
  <si>
    <t>Auto Loan</t>
  </si>
  <si>
    <t>Liquid Assets</t>
  </si>
  <si>
    <t>High-Interest Debt</t>
  </si>
  <si>
    <t>High-Interest Debt Share</t>
  </si>
  <si>
    <t>Debt-To-Income Ratio</t>
  </si>
  <si>
    <t>Debt-To-Assets Ratio</t>
  </si>
  <si>
    <t>Expected Investment Return Rate</t>
  </si>
  <si>
    <t>Budgeted Amount</t>
  </si>
  <si>
    <t>Actual Amount</t>
  </si>
  <si>
    <t>September 2026</t>
  </si>
  <si>
    <t>Monthly Net Income</t>
  </si>
  <si>
    <t>Total Monthly Net Income</t>
  </si>
  <si>
    <t/>
  </si>
  <si>
    <t>Monthly Net Side Income</t>
  </si>
  <si>
    <t>Net Income</t>
  </si>
  <si>
    <t>Net Side Income</t>
  </si>
  <si>
    <t>Health &amp; Insurance</t>
  </si>
  <si>
    <t>Personal &amp; Household</t>
  </si>
  <si>
    <t>Technology &amp; Subscriptions</t>
  </si>
  <si>
    <t>Total Monthly Expenses</t>
  </si>
  <si>
    <t>Goal Allocations</t>
  </si>
  <si>
    <t>Cash Flow Summary</t>
  </si>
  <si>
    <t>Emergency Fund Contribution</t>
  </si>
  <si>
    <t>Retirement Contribution</t>
  </si>
  <si>
    <t>Extra Debt Payment</t>
  </si>
  <si>
    <t>Other Savings</t>
  </si>
  <si>
    <t>Total Goal Allocations</t>
  </si>
  <si>
    <t xml:space="preserve">Miscellaneous </t>
  </si>
  <si>
    <t>Retirement Savings Rate Target</t>
  </si>
  <si>
    <t>Minimum Debt Obligations</t>
  </si>
  <si>
    <t>Chase</t>
  </si>
  <si>
    <t>Discover</t>
  </si>
  <si>
    <t>Capital One</t>
  </si>
  <si>
    <t>Wells Fargo</t>
  </si>
  <si>
    <t xml:space="preserve">Extra Debt Payment </t>
  </si>
  <si>
    <t>Build a three-month emergency fund within 24 months</t>
  </si>
  <si>
    <t>Aidvantage</t>
  </si>
  <si>
    <t>Payoff Method</t>
  </si>
  <si>
    <t>Total Starting Debt</t>
  </si>
  <si>
    <t>Extra Monthly Payment</t>
  </si>
  <si>
    <t>Debt Payoff Overview</t>
  </si>
  <si>
    <t>Target Debt-Free Date</t>
  </si>
  <si>
    <t>Projected Total Interest</t>
  </si>
  <si>
    <t>Debt Inventory &amp; Priority Table</t>
  </si>
  <si>
    <t>Priority</t>
  </si>
  <si>
    <t>Extra Payment</t>
  </si>
  <si>
    <t>Total Payment</t>
  </si>
  <si>
    <t>Total</t>
  </si>
  <si>
    <t>Progress Milestones</t>
  </si>
  <si>
    <t>First Debt Paid Off</t>
  </si>
  <si>
    <t>Milestone</t>
  </si>
  <si>
    <t>Projected Date</t>
  </si>
  <si>
    <t>25% Paid Off</t>
  </si>
  <si>
    <t>50% Paid Off</t>
  </si>
  <si>
    <t>75% Paid Off</t>
  </si>
  <si>
    <t>Debt Free</t>
  </si>
  <si>
    <t>July 2027</t>
  </si>
  <si>
    <t>July 2028</t>
  </si>
  <si>
    <t>Month</t>
  </si>
  <si>
    <t>Chase Card Balance</t>
  </si>
  <si>
    <t>Discover Card Balance</t>
  </si>
  <si>
    <t>Capital One Card Balance</t>
  </si>
  <si>
    <t>Auto Loan Balance</t>
  </si>
  <si>
    <t>Student Loan Balance</t>
  </si>
  <si>
    <t>October 2026</t>
  </si>
  <si>
    <t>November 2026</t>
  </si>
  <si>
    <t>December 2026</t>
  </si>
  <si>
    <t>January 2027</t>
  </si>
  <si>
    <t>February 2027</t>
  </si>
  <si>
    <t>March 2027</t>
  </si>
  <si>
    <t>April 2027</t>
  </si>
  <si>
    <t>May 2027</t>
  </si>
  <si>
    <t>June 2027</t>
  </si>
  <si>
    <t>August 2027</t>
  </si>
  <si>
    <t>September 2027</t>
  </si>
  <si>
    <t>October 2027</t>
  </si>
  <si>
    <t>November 2027</t>
  </si>
  <si>
    <t>December 2027</t>
  </si>
  <si>
    <t>January 2028</t>
  </si>
  <si>
    <t>February 2028</t>
  </si>
  <si>
    <t>March 2028</t>
  </si>
  <si>
    <t>April 2028</t>
  </si>
  <si>
    <t>May 2028</t>
  </si>
  <si>
    <t>June 2028</t>
  </si>
  <si>
    <t>August 2028</t>
  </si>
  <si>
    <t>September 2028</t>
  </si>
  <si>
    <t>October 2028</t>
  </si>
  <si>
    <t>November 2028</t>
  </si>
  <si>
    <t>December 2028</t>
  </si>
  <si>
    <t>January 2029</t>
  </si>
  <si>
    <t>February 2029</t>
  </si>
  <si>
    <t>March 2029</t>
  </si>
  <si>
    <t>April 2029</t>
  </si>
  <si>
    <t>May 2029</t>
  </si>
  <si>
    <t>June 2029</t>
  </si>
  <si>
    <t>July 2029</t>
  </si>
  <si>
    <t>August 2029</t>
  </si>
  <si>
    <t>September 2029</t>
  </si>
  <si>
    <t>October 2029</t>
  </si>
  <si>
    <t>November 2029</t>
  </si>
  <si>
    <t>December 2029</t>
  </si>
  <si>
    <t>January 2030</t>
  </si>
  <si>
    <t>Total Remaining Debt</t>
  </si>
  <si>
    <t>Second Debt Paid Off</t>
  </si>
  <si>
    <t>Third Debt Paid Off</t>
  </si>
  <si>
    <t>Fourth Debt Paid Off</t>
  </si>
  <si>
    <t>Debt Payoff</t>
  </si>
  <si>
    <t>Monthly Interest Accrued</t>
  </si>
  <si>
    <t>Net Worth</t>
  </si>
  <si>
    <t>Total Debt</t>
  </si>
  <si>
    <t>Emergency Fund Progress</t>
  </si>
  <si>
    <t>Projected Debt-Free Date</t>
  </si>
  <si>
    <t>Emergency Fund</t>
  </si>
  <si>
    <t>Overview</t>
  </si>
  <si>
    <t>Emergency Fund HYSA</t>
  </si>
  <si>
    <t>Current Emergency Fund</t>
  </si>
  <si>
    <t>Monthly Contribution</t>
  </si>
  <si>
    <t>Remaining Needed</t>
  </si>
  <si>
    <t>Progress</t>
  </si>
  <si>
    <t>Projected Completion</t>
  </si>
  <si>
    <t>Saving Schedule</t>
  </si>
  <si>
    <t>Balance</t>
  </si>
  <si>
    <t>Contribution</t>
  </si>
  <si>
    <t>Interest Earned</t>
  </si>
  <si>
    <t>Top Actions</t>
  </si>
  <si>
    <t xml:space="preserve"> 1. Build the emergency fund to the target level by allocating $500 per month.</t>
  </si>
  <si>
    <t xml:space="preserve"> 2. Use all designated extra cash toward highest interest under the debt-avalanche strategy.</t>
  </si>
  <si>
    <t xml:space="preserve"> 3. Maintain retirement contributions only at the planned level until  debt is repaid, then redirect the released payment to retirement.</t>
  </si>
  <si>
    <t>Financial Position</t>
  </si>
  <si>
    <t>Pets</t>
  </si>
  <si>
    <t>Pay off all debt within 5 years</t>
  </si>
  <si>
    <t>Emergency Fund Month Target</t>
  </si>
  <si>
    <t xml:space="preserve">Emergency Fund Amount Target </t>
  </si>
  <si>
    <t>HYSA Account Interest Rate</t>
  </si>
  <si>
    <t>Maintain minimum debt payments → 
Build three-month emergency fund → 
Eliminate all debt → 
Contribute 8% of gross income to retirement</t>
  </si>
  <si>
    <t>Personal Property</t>
  </si>
  <si>
    <t>Net Worth Summary</t>
  </si>
  <si>
    <t>Current Emergency Fund Months</t>
  </si>
  <si>
    <t>Housing &amp; Utilities</t>
  </si>
  <si>
    <t>Emergency Fund Amount Target</t>
  </si>
  <si>
    <t>Total Monthly Payments</t>
  </si>
  <si>
    <t>Priority: Establish an emergency fund while eliminating  debt</t>
  </si>
  <si>
    <t>PERSONAL FINANCIAL PLANNING CASE-STUDY</t>
  </si>
  <si>
    <t>A hypothetical-client financial planning workbook</t>
  </si>
  <si>
    <t>Prepared By: Jameson Bortnem</t>
  </si>
  <si>
    <t>Last Updated: September 2026 | Version: 1.0</t>
  </si>
  <si>
    <t>Workbook Purpose</t>
  </si>
  <si>
    <t>How To Use This Workbook</t>
  </si>
  <si>
    <t>Important Notes</t>
  </si>
  <si>
    <t>Primary Constraint</t>
  </si>
  <si>
    <t>Secondary Constraint</t>
  </si>
  <si>
    <t>Low retirement balance for age; high credit card APR</t>
  </si>
  <si>
    <t>Workbook Map</t>
  </si>
  <si>
    <t>Workbook purpose, instructions, 
and navigation</t>
  </si>
  <si>
    <t>Hypothetical client background, priorities, goals, and constraints</t>
  </si>
  <si>
    <t>Central model inputs, planning rules, and assumptions</t>
  </si>
  <si>
    <r>
      <t xml:space="preserve">1. Review the </t>
    </r>
    <r>
      <rPr>
        <b/>
        <sz val="14"/>
        <color theme="1"/>
        <rFont val="Aptos Narrow"/>
        <scheme val="minor"/>
      </rPr>
      <t>Client Profile</t>
    </r>
    <r>
      <rPr>
        <sz val="14"/>
        <color theme="1"/>
        <rFont val="Aptos Narrow"/>
        <scheme val="minor"/>
      </rPr>
      <t xml:space="preserve"> to understand the client’s background, priorities, goals, and constraints.</t>
    </r>
  </si>
  <si>
    <r>
      <t>2. Update blue-font input cells in</t>
    </r>
    <r>
      <rPr>
        <b/>
        <sz val="14"/>
        <color theme="1"/>
        <rFont val="Aptos Narrow"/>
        <scheme val="minor"/>
      </rPr>
      <t xml:space="preserve"> Key Assumptions</t>
    </r>
    <r>
      <rPr>
        <sz val="14"/>
        <color theme="1"/>
        <rFont val="Aptos Narrow"/>
        <scheme val="minor"/>
      </rPr>
      <t xml:space="preserve"> to test a different scenario.</t>
    </r>
  </si>
  <si>
    <r>
      <t xml:space="preserve">6. Review the debt-avalanche plan in </t>
    </r>
    <r>
      <rPr>
        <b/>
        <sz val="14"/>
        <color theme="1"/>
        <rFont val="Aptos Narrow"/>
        <scheme val="minor"/>
      </rPr>
      <t>Debt Payoff</t>
    </r>
    <r>
      <rPr>
        <sz val="14"/>
        <color theme="1"/>
        <rFont val="Aptos Narrow"/>
        <scheme val="minor"/>
      </rPr>
      <t>, then use the Planning Dashboard for the primary 
      recommendations and summary metrics.</t>
    </r>
  </si>
  <si>
    <t>Assets, liabilities, net worth, and key financial ratios</t>
  </si>
  <si>
    <t>Budgeted versus actual monthly income, spending, savings, and cash flow</t>
  </si>
  <si>
    <t>Client-facing summary, KPIs, charts, and recommended actions</t>
  </si>
  <si>
    <t>Debt-avalanche payoff order, balances, monthly schedule, interest, and milestones</t>
  </si>
  <si>
    <t>KPIs</t>
  </si>
  <si>
    <t>This workbook evaluates the current financial position of a hypothetical client and develops a practical plan for cash flow, emergency savings, debt repayment, and financial priorities. It connects assumptions, current balances, budgeted activity, and payoff projections into a single planning dashboard. The model is designed to demonstrate Excel-based financial-planning analysis for portfolio and educational purposes.</t>
  </si>
  <si>
    <t>This workbook is an educational portfolio project based on a hypothetical client scenario. It is not individualized financial, investment, tax, or legal advice. All account balances, income, expenses, interest rates, investment assumptions, tax estimates, and projected dates are illustrative and may differ from real-world outcomes. Projections assume the stated inputs remain consistent; actual results may change because of spending, income, interest-rate, payment, or life-event changes.</t>
  </si>
  <si>
    <t>Reserve target, monthly contribution, progress, and projected completion date</t>
  </si>
  <si>
    <r>
      <t xml:space="preserve">4. Use </t>
    </r>
    <r>
      <rPr>
        <b/>
        <sz val="14"/>
        <color theme="1"/>
        <rFont val="Aptos Narrow"/>
        <scheme val="minor"/>
      </rPr>
      <t>Cash Flow &amp; Budget</t>
    </r>
    <r>
      <rPr>
        <sz val="14"/>
        <color theme="1"/>
        <rFont val="Aptos Narrow"/>
        <scheme val="minor"/>
      </rPr>
      <t xml:space="preserve"> to compare planned spending with actual monthly spending and identify
      monthly surplus or deficit.</t>
    </r>
  </si>
  <si>
    <r>
      <t xml:space="preserve">5. Track the monthly emergency fund contribution and expected completion date in </t>
    </r>
    <r>
      <rPr>
        <b/>
        <sz val="14"/>
        <color theme="1"/>
        <rFont val="Aptos Narrow"/>
        <scheme val="minor"/>
      </rPr>
      <t>Emergency Fund</t>
    </r>
    <r>
      <rPr>
        <sz val="14"/>
        <color theme="1"/>
        <rFont val="Aptos Narrow"/>
        <scheme val="minor"/>
      </rPr>
      <t>.</t>
    </r>
  </si>
  <si>
    <t>Pay every required minimum →
Send all extra debt funds to the card with the highest APR →
Roll its payment to the next highest APR after paid off</t>
  </si>
  <si>
    <t>Current Progress</t>
  </si>
  <si>
    <r>
      <t xml:space="preserve">3. Review </t>
    </r>
    <r>
      <rPr>
        <b/>
        <sz val="14"/>
        <color theme="1"/>
        <rFont val="Aptos Narrow"/>
        <scheme val="minor"/>
      </rPr>
      <t>Financial Position</t>
    </r>
    <r>
      <rPr>
        <sz val="14"/>
        <color theme="1"/>
        <rFont val="Aptos Narrow"/>
        <scheme val="minor"/>
      </rPr>
      <t xml:space="preserve"> for assets, liabilities, net worth, and planning ratios.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</si>
</sst>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164" formatCode="&quot;$&quot;#,##0"/>
    <numFmt numFmtId="165" formatCode="0.0%"/>
    <numFmt numFmtId="166" formatCode="&quot;$&quot;#,##0.00"/>
  </numFmts>
  <fonts count="48" x14ac:knownFonts="1">
    <font>
      <sz val="12"/>
      <color theme="1"/>
      <name val="Aptos Narrow"/>
      <family val="2"/>
      <scheme val="minor"/>
    </font>
    <font>
      <b/>
      <sz val="36"/>
      <color rgb="FFB7D8F1"/>
      <name val="Aptos Narrow"/>
      <scheme val="minor"/>
    </font>
    <font>
      <sz val="12"/>
      <color theme="2" tint="-0.499984740745262"/>
      <name val="Aptos Narrow"/>
      <family val="2"/>
      <scheme val="minor"/>
    </font>
    <font>
      <b/>
      <sz val="36"/>
      <color theme="3" tint="0.499984740745262"/>
      <name val="Aptos Narrow"/>
      <family val="2"/>
      <scheme val="minor"/>
    </font>
    <font>
      <b/>
      <sz val="36"/>
      <color theme="3" tint="0.499984740745262"/>
      <name val="Aptos Narrow"/>
      <scheme val="minor"/>
    </font>
    <font>
      <sz val="12"/>
      <color rgb="FF000000"/>
      <name val="Aptos Narrow"/>
      <family val="2"/>
      <scheme val="minor"/>
    </font>
    <font>
      <b/>
      <sz val="22"/>
      <color theme="0"/>
      <name val="Aptos Narrow"/>
      <scheme val="minor"/>
    </font>
    <font>
      <b/>
      <sz val="14"/>
      <color theme="1"/>
      <name val="Aptos Narrow"/>
      <scheme val="minor"/>
    </font>
    <font>
      <sz val="14"/>
      <color theme="1"/>
      <name val="Aptos Narrow"/>
      <scheme val="minor"/>
    </font>
    <font>
      <b/>
      <sz val="36"/>
      <color theme="4"/>
      <name val="Aptos Narrow"/>
      <scheme val="minor"/>
    </font>
    <font>
      <b/>
      <sz val="14"/>
      <name val="Aptos Narrow"/>
      <scheme val="minor"/>
    </font>
    <font>
      <sz val="14"/>
      <name val="Aptos Narrow"/>
      <scheme val="minor"/>
    </font>
    <font>
      <b/>
      <sz val="12"/>
      <color theme="6"/>
      <name val="Aptos Narrow"/>
      <scheme val="minor"/>
    </font>
    <font>
      <b/>
      <sz val="16"/>
      <color theme="0"/>
      <name val="Aptos Narrow"/>
      <scheme val="minor"/>
    </font>
    <font>
      <sz val="12"/>
      <color theme="1"/>
      <name val="Aptos Narrow"/>
      <family val="2"/>
      <scheme val="minor"/>
    </font>
    <font>
      <sz val="8"/>
      <name val="Aptos Narrow"/>
      <family val="2"/>
      <scheme val="minor"/>
    </font>
    <font>
      <b/>
      <i/>
      <sz val="16"/>
      <color theme="0"/>
      <name val="Aptos Narrow"/>
      <scheme val="minor"/>
    </font>
    <font>
      <sz val="12"/>
      <color theme="4"/>
      <name val="Aptos Narrow"/>
      <scheme val="minor"/>
    </font>
    <font>
      <b/>
      <sz val="12"/>
      <color theme="4"/>
      <name val="Aptos Narrow"/>
      <scheme val="minor"/>
    </font>
    <font>
      <b/>
      <sz val="36"/>
      <color rgb="FF27628B"/>
      <name val="Aptos Narrow"/>
      <scheme val="minor"/>
    </font>
    <font>
      <b/>
      <sz val="36"/>
      <color rgb="FF5B9BD5"/>
      <name val="Aptos Narrow"/>
      <scheme val="minor"/>
    </font>
    <font>
      <b/>
      <sz val="14"/>
      <color rgb="FF5B9BD5"/>
      <name val="Aptos Narrow"/>
      <scheme val="minor"/>
    </font>
    <font>
      <sz val="14"/>
      <color rgb="FF000000"/>
      <name val="Aptos Narrow"/>
      <scheme val="minor"/>
    </font>
    <font>
      <b/>
      <sz val="36"/>
      <color theme="6" tint="-0.249977111117893"/>
      <name val="Aptos Narrow (Body)"/>
    </font>
    <font>
      <b/>
      <sz val="12"/>
      <color theme="6" tint="-0.249977111117893"/>
      <name val="Aptos Narrow"/>
      <scheme val="minor"/>
    </font>
    <font>
      <b/>
      <sz val="14"/>
      <color theme="6" tint="-0.249977111117893"/>
      <name val="Aptos Narrow"/>
      <scheme val="minor"/>
    </font>
    <font>
      <b/>
      <sz val="36"/>
      <color rgb="FF407742"/>
      <name val="Aptos Narrow (Body)"/>
    </font>
    <font>
      <b/>
      <sz val="12"/>
      <color rgb="FF407742"/>
      <name val="Aptos Narrow"/>
      <scheme val="minor"/>
    </font>
    <font>
      <b/>
      <sz val="14"/>
      <color rgb="FF407742"/>
      <name val="Aptos Narrow"/>
      <scheme val="minor"/>
    </font>
    <font>
      <sz val="14"/>
      <color theme="1"/>
      <name val="Aptos Narrow"/>
      <family val="2"/>
      <scheme val="minor"/>
    </font>
    <font>
      <sz val="16"/>
      <color theme="1"/>
      <name val="Aptos Narrow"/>
      <family val="2"/>
      <scheme val="minor"/>
    </font>
    <font>
      <b/>
      <sz val="14"/>
      <color rgb="FF1F4E78"/>
      <name val="Aptos Narrow"/>
      <scheme val="minor"/>
    </font>
    <font>
      <b/>
      <sz val="12"/>
      <color rgb="FF1F4E78"/>
      <name val="Aptos Narrow"/>
      <scheme val="minor"/>
    </font>
    <font>
      <b/>
      <sz val="14"/>
      <color rgb="FF006666"/>
      <name val="Aptos Narrow"/>
      <scheme val="minor"/>
    </font>
    <font>
      <b/>
      <sz val="36"/>
      <color rgb="FF006666"/>
      <name val="Aptos Narrow"/>
      <scheme val="minor"/>
    </font>
    <font>
      <b/>
      <sz val="36"/>
      <color rgb="FF44546A"/>
      <name val="Aptos Narrow"/>
      <scheme val="minor"/>
    </font>
    <font>
      <b/>
      <sz val="36"/>
      <color rgb="FF7F4B30"/>
      <name val="Aptos Narrow (Body)"/>
    </font>
    <font>
      <b/>
      <sz val="12"/>
      <color rgb="FF7F4B30"/>
      <name val="Aptos Narrow"/>
      <scheme val="minor"/>
    </font>
    <font>
      <b/>
      <sz val="14"/>
      <color rgb="FF7F4B30"/>
      <name val="Aptos Narrow"/>
      <scheme val="minor"/>
    </font>
    <font>
      <b/>
      <sz val="36"/>
      <color rgb="FF7F4B30"/>
      <name val="Aptos Narrow"/>
      <scheme val="minor"/>
    </font>
    <font>
      <b/>
      <sz val="36"/>
      <color rgb="FFB27D57"/>
      <name val="Aptos Narrow (Body)"/>
    </font>
    <font>
      <b/>
      <sz val="14"/>
      <color rgb="FFB27D57"/>
      <name val="Aptos Narrow"/>
      <scheme val="minor"/>
    </font>
    <font>
      <b/>
      <sz val="12"/>
      <color rgb="FFB27D57"/>
      <name val="Aptos Narrow"/>
      <scheme val="minor"/>
    </font>
    <font>
      <b/>
      <sz val="36"/>
      <color rgb="FFB27D57"/>
      <name val="Aptos Narrow"/>
      <scheme val="minor"/>
    </font>
    <font>
      <b/>
      <i/>
      <sz val="16"/>
      <color rgb="FF44546A"/>
      <name val="Aptos Narrow"/>
      <scheme val="minor"/>
    </font>
    <font>
      <b/>
      <sz val="16"/>
      <color rgb="FF44546A"/>
      <name val="Aptos Narrow"/>
      <scheme val="minor"/>
    </font>
    <font>
      <u/>
      <sz val="12"/>
      <color theme="10"/>
      <name val="Aptos Narrow"/>
      <family val="2"/>
      <scheme val="minor"/>
    </font>
    <font>
      <b/>
      <i/>
      <u/>
      <sz val="16"/>
      <name val="Aptos Narrow"/>
      <scheme val="minor"/>
    </font>
  </fonts>
  <fills count="18">
    <fill>
      <patternFill patternType="none"/>
    </fill>
    <fill>
      <patternFill patternType="gray125"/>
    </fill>
    <fill>
      <patternFill patternType="solid">
        <fgColor theme="6" tint="-0.249977111117893"/>
        <bgColor indexed="64"/>
      </patternFill>
    </fill>
    <fill>
      <patternFill patternType="solid">
        <fgColor rgb="FF5B9BD5"/>
        <bgColor indexed="64"/>
      </patternFill>
    </fill>
    <fill>
      <patternFill patternType="solid">
        <fgColor rgb="FFDDEBF7"/>
        <bgColor indexed="64"/>
      </patternFill>
    </fill>
    <fill>
      <patternFill patternType="solid">
        <fgColor rgb="FFDDEBF7"/>
        <bgColor rgb="FF000000"/>
      </patternFill>
    </fill>
    <fill>
      <patternFill patternType="solid">
        <fgColor rgb="FFE2F0D9"/>
        <bgColor indexed="64"/>
      </patternFill>
    </fill>
    <fill>
      <patternFill patternType="solid">
        <fgColor theme="9" tint="-0.249977111117893"/>
        <bgColor indexed="64"/>
      </patternFill>
    </fill>
    <fill>
      <patternFill patternType="solid">
        <fgColor rgb="FF407742"/>
        <bgColor indexed="64"/>
      </patternFill>
    </fill>
    <fill>
      <patternFill patternType="solid">
        <fgColor rgb="FF1F4E78"/>
        <bgColor indexed="64"/>
      </patternFill>
    </fill>
    <fill>
      <patternFill patternType="solid">
        <fgColor rgb="FFD9E1F2"/>
        <bgColor indexed="64"/>
      </patternFill>
    </fill>
    <fill>
      <patternFill patternType="solid">
        <fgColor rgb="FF006666"/>
        <bgColor indexed="64"/>
      </patternFill>
    </fill>
    <fill>
      <patternFill patternType="solid">
        <fgColor rgb="FFD9EDED"/>
        <bgColor indexed="64"/>
      </patternFill>
    </fill>
    <fill>
      <patternFill patternType="solid">
        <fgColor rgb="FF7F4B30"/>
        <bgColor indexed="64"/>
      </patternFill>
    </fill>
    <fill>
      <patternFill patternType="solid">
        <fgColor rgb="FFE1D9C9"/>
        <bgColor indexed="64"/>
      </patternFill>
    </fill>
    <fill>
      <patternFill patternType="solid">
        <fgColor rgb="FFB27D57"/>
        <bgColor indexed="64"/>
      </patternFill>
    </fill>
    <fill>
      <patternFill patternType="solid">
        <fgColor rgb="FF44546A"/>
        <bgColor indexed="64"/>
      </patternFill>
    </fill>
    <fill>
      <patternFill patternType="solid">
        <fgColor rgb="FFE7E6E6"/>
        <bgColor indexed="64"/>
      </patternFill>
    </fill>
  </fills>
  <borders count="16">
    <border>
      <left/>
      <right/>
      <top/>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4">
    <xf numFmtId="0" fontId="0" fillId="0" borderId="0"/>
    <xf numFmtId="44" fontId="14" fillId="0" borderId="0" applyFont="0" applyFill="0" applyBorder="0" applyAlignment="0" applyProtection="0"/>
    <xf numFmtId="9" fontId="14" fillId="0" borderId="0" applyFont="0" applyFill="0" applyBorder="0" applyAlignment="0" applyProtection="0"/>
    <xf numFmtId="0" fontId="46" fillId="0" borderId="0" applyNumberFormat="0" applyFill="0" applyBorder="0" applyAlignment="0" applyProtection="0"/>
  </cellStyleXfs>
  <cellXfs count="205">
    <xf numFmtId="0" fontId="0" fillId="0" borderId="0" xfId="0"/>
    <xf numFmtId="0" fontId="1" fillId="0" borderId="0" xfId="0" applyFont="1" applyAlignment="1">
      <alignment vertical="center"/>
    </xf>
    <xf numFmtId="0" fontId="5" fillId="0" borderId="0" xfId="0" applyFont="1"/>
    <xf numFmtId="0" fontId="4" fillId="0" borderId="0" xfId="0" applyFont="1" applyAlignment="1">
      <alignment vertical="center"/>
    </xf>
    <xf numFmtId="0" fontId="3" fillId="0" borderId="0" xfId="0" applyFont="1" applyAlignment="1">
      <alignment horizontal="left" vertical="center"/>
    </xf>
    <xf numFmtId="0" fontId="2" fillId="0" borderId="0" xfId="0" applyFont="1" applyAlignment="1">
      <alignment vertical="center"/>
    </xf>
    <xf numFmtId="0" fontId="12" fillId="0" borderId="0" xfId="0" applyFont="1" applyAlignment="1">
      <alignment horizontal="left" vertical="center"/>
    </xf>
    <xf numFmtId="0" fontId="17" fillId="0" borderId="0" xfId="0" applyFont="1"/>
    <xf numFmtId="0" fontId="18" fillId="0" borderId="0" xfId="0" applyFont="1" applyAlignment="1">
      <alignment horizontal="left" vertical="center"/>
    </xf>
    <xf numFmtId="0" fontId="9" fillId="0" borderId="0" xfId="0" applyFont="1" applyAlignment="1">
      <alignment vertical="center"/>
    </xf>
    <xf numFmtId="0" fontId="0" fillId="0" borderId="0" xfId="0" quotePrefix="1"/>
    <xf numFmtId="166" fontId="0" fillId="0" borderId="0" xfId="0" applyNumberFormat="1"/>
    <xf numFmtId="0" fontId="13" fillId="2" borderId="2" xfId="0" applyFont="1" applyFill="1" applyBorder="1" applyAlignment="1">
      <alignment horizontal="left" vertical="center"/>
    </xf>
    <xf numFmtId="0" fontId="13" fillId="2" borderId="3" xfId="0" applyFont="1" applyFill="1" applyBorder="1"/>
    <xf numFmtId="0" fontId="13" fillId="2" borderId="8" xfId="0" applyFont="1" applyFill="1" applyBorder="1"/>
    <xf numFmtId="164" fontId="0" fillId="0" borderId="0" xfId="0" applyNumberFormat="1"/>
    <xf numFmtId="0" fontId="21" fillId="0" borderId="0" xfId="0" applyFont="1" applyAlignment="1">
      <alignment horizontal="left" vertical="center"/>
    </xf>
    <xf numFmtId="49" fontId="21" fillId="0" borderId="0" xfId="0" applyNumberFormat="1" applyFont="1" applyAlignment="1">
      <alignment horizontal="left" vertical="center"/>
    </xf>
    <xf numFmtId="0" fontId="7" fillId="4" borderId="1" xfId="0" applyFont="1" applyFill="1" applyBorder="1" applyAlignment="1">
      <alignment horizontal="left" vertical="center"/>
    </xf>
    <xf numFmtId="0" fontId="8" fillId="4" borderId="4" xfId="0" applyFont="1" applyFill="1" applyBorder="1" applyAlignment="1">
      <alignment horizontal="left" vertical="center"/>
    </xf>
    <xf numFmtId="0" fontId="8" fillId="4" borderId="4" xfId="0" applyFont="1" applyFill="1" applyBorder="1"/>
    <xf numFmtId="0" fontId="7" fillId="4" borderId="1" xfId="0" applyFont="1" applyFill="1" applyBorder="1" applyAlignment="1">
      <alignment vertical="top"/>
    </xf>
    <xf numFmtId="0" fontId="10" fillId="6" borderId="1" xfId="0" applyFont="1" applyFill="1" applyBorder="1" applyAlignment="1">
      <alignment horizontal="left" vertical="center"/>
    </xf>
    <xf numFmtId="0" fontId="10" fillId="6" borderId="9" xfId="0" applyFont="1" applyFill="1" applyBorder="1"/>
    <xf numFmtId="0" fontId="10" fillId="6" borderId="9" xfId="0" applyFont="1" applyFill="1" applyBorder="1" applyAlignment="1">
      <alignment horizontal="left" vertical="center"/>
    </xf>
    <xf numFmtId="10" fontId="11" fillId="6" borderId="9" xfId="2" applyNumberFormat="1" applyFont="1" applyFill="1" applyBorder="1" applyAlignment="1">
      <alignment horizontal="left" vertical="center"/>
    </xf>
    <xf numFmtId="2" fontId="11" fillId="6" borderId="4" xfId="0" applyNumberFormat="1" applyFont="1" applyFill="1" applyBorder="1" applyAlignment="1">
      <alignment horizontal="left" vertical="center"/>
    </xf>
    <xf numFmtId="165" fontId="11" fillId="6" borderId="4" xfId="2" applyNumberFormat="1" applyFont="1" applyFill="1" applyBorder="1" applyAlignment="1">
      <alignment horizontal="left" vertical="center"/>
    </xf>
    <xf numFmtId="0" fontId="10" fillId="6" borderId="1" xfId="0" applyFont="1" applyFill="1" applyBorder="1"/>
    <xf numFmtId="0" fontId="16" fillId="2" borderId="1" xfId="0" applyFont="1" applyFill="1" applyBorder="1" applyAlignment="1">
      <alignment horizontal="left" vertical="center"/>
    </xf>
    <xf numFmtId="0" fontId="24" fillId="0" borderId="0" xfId="0" applyFont="1" applyAlignment="1">
      <alignment horizontal="left" vertical="center"/>
    </xf>
    <xf numFmtId="0" fontId="25" fillId="0" borderId="0" xfId="0" applyFont="1" applyAlignment="1">
      <alignment horizontal="left" vertical="center"/>
    </xf>
    <xf numFmtId="49" fontId="25" fillId="0" borderId="0" xfId="0" applyNumberFormat="1" applyFont="1" applyAlignment="1">
      <alignment horizontal="left" vertical="center"/>
    </xf>
    <xf numFmtId="0" fontId="16" fillId="7" borderId="1" xfId="0" applyFont="1" applyFill="1" applyBorder="1" applyAlignment="1">
      <alignment horizontal="left" vertical="center"/>
    </xf>
    <xf numFmtId="0" fontId="16" fillId="7" borderId="9" xfId="0" applyFont="1" applyFill="1" applyBorder="1"/>
    <xf numFmtId="0" fontId="13" fillId="8" borderId="2" xfId="0" applyFont="1" applyFill="1" applyBorder="1" applyAlignment="1">
      <alignment horizontal="left" vertical="center"/>
    </xf>
    <xf numFmtId="0" fontId="13" fillId="8" borderId="3" xfId="0" applyFont="1" applyFill="1" applyBorder="1"/>
    <xf numFmtId="0" fontId="13" fillId="8" borderId="8" xfId="0" applyFont="1" applyFill="1" applyBorder="1"/>
    <xf numFmtId="0" fontId="27" fillId="0" borderId="0" xfId="0" applyFont="1" applyAlignment="1">
      <alignment horizontal="left" vertical="center"/>
    </xf>
    <xf numFmtId="0" fontId="28" fillId="0" borderId="0" xfId="0" applyFont="1" applyAlignment="1">
      <alignment horizontal="left" vertical="center"/>
    </xf>
    <xf numFmtId="49" fontId="28" fillId="0" borderId="0" xfId="0" applyNumberFormat="1" applyFont="1" applyAlignment="1">
      <alignment horizontal="left" vertical="center"/>
    </xf>
    <xf numFmtId="0" fontId="16" fillId="8" borderId="1" xfId="0" applyFont="1" applyFill="1" applyBorder="1" applyAlignment="1">
      <alignment horizontal="left" vertical="center"/>
    </xf>
    <xf numFmtId="0" fontId="16" fillId="8" borderId="9" xfId="0" applyFont="1" applyFill="1" applyBorder="1" applyAlignment="1">
      <alignment horizontal="left" vertical="center"/>
    </xf>
    <xf numFmtId="10" fontId="16" fillId="8" borderId="9" xfId="2" applyNumberFormat="1" applyFont="1" applyFill="1" applyBorder="1" applyAlignment="1">
      <alignment horizontal="left" vertical="center"/>
    </xf>
    <xf numFmtId="166" fontId="11" fillId="6" borderId="9" xfId="0" applyNumberFormat="1" applyFont="1" applyFill="1" applyBorder="1" applyAlignment="1">
      <alignment horizontal="left" vertical="center"/>
    </xf>
    <xf numFmtId="166" fontId="11" fillId="6" borderId="4" xfId="0" applyNumberFormat="1" applyFont="1" applyFill="1" applyBorder="1" applyAlignment="1">
      <alignment horizontal="left" vertical="center"/>
    </xf>
    <xf numFmtId="166" fontId="16" fillId="2" borderId="9" xfId="0" applyNumberFormat="1" applyFont="1" applyFill="1" applyBorder="1" applyAlignment="1">
      <alignment horizontal="left" vertical="center"/>
    </xf>
    <xf numFmtId="166" fontId="16" fillId="2" borderId="4" xfId="0" applyNumberFormat="1" applyFont="1" applyFill="1" applyBorder="1" applyAlignment="1">
      <alignment horizontal="left" vertical="center"/>
    </xf>
    <xf numFmtId="166" fontId="16" fillId="7" borderId="4" xfId="0" applyNumberFormat="1" applyFont="1" applyFill="1" applyBorder="1" applyAlignment="1">
      <alignment horizontal="left" vertical="center"/>
    </xf>
    <xf numFmtId="166" fontId="16" fillId="8" borderId="9" xfId="0" applyNumberFormat="1" applyFont="1" applyFill="1" applyBorder="1" applyAlignment="1">
      <alignment horizontal="left" vertical="center"/>
    </xf>
    <xf numFmtId="166" fontId="16" fillId="8" borderId="4" xfId="0" applyNumberFormat="1" applyFont="1" applyFill="1" applyBorder="1" applyAlignment="1">
      <alignment horizontal="left" vertical="center"/>
    </xf>
    <xf numFmtId="166" fontId="8" fillId="4" borderId="4" xfId="1" applyNumberFormat="1" applyFont="1" applyFill="1" applyBorder="1" applyAlignment="1">
      <alignment horizontal="left" vertical="center"/>
    </xf>
    <xf numFmtId="0" fontId="29" fillId="0" borderId="0" xfId="0" applyFont="1"/>
    <xf numFmtId="0" fontId="30" fillId="0" borderId="0" xfId="0" applyFont="1"/>
    <xf numFmtId="0" fontId="31" fillId="0" borderId="0" xfId="0" applyFont="1"/>
    <xf numFmtId="0" fontId="32" fillId="0" borderId="0" xfId="0" applyFont="1"/>
    <xf numFmtId="0" fontId="13" fillId="9" borderId="2" xfId="0" applyFont="1" applyFill="1" applyBorder="1" applyAlignment="1">
      <alignment horizontal="left" vertical="center"/>
    </xf>
    <xf numFmtId="0" fontId="13" fillId="9" borderId="3" xfId="0" applyFont="1" applyFill="1" applyBorder="1" applyAlignment="1">
      <alignment horizontal="left" vertical="center"/>
    </xf>
    <xf numFmtId="0" fontId="13" fillId="9" borderId="8" xfId="0" applyFont="1" applyFill="1" applyBorder="1" applyAlignment="1">
      <alignment horizontal="left" vertical="center"/>
    </xf>
    <xf numFmtId="166" fontId="29" fillId="10" borderId="12" xfId="0" applyNumberFormat="1" applyFont="1" applyFill="1" applyBorder="1" applyAlignment="1">
      <alignment horizontal="left" vertical="center"/>
    </xf>
    <xf numFmtId="165" fontId="29" fillId="10" borderId="12" xfId="2" applyNumberFormat="1" applyFont="1" applyFill="1" applyBorder="1" applyAlignment="1">
      <alignment horizontal="left" vertical="center"/>
    </xf>
    <xf numFmtId="49" fontId="29" fillId="10" borderId="12" xfId="0" applyNumberFormat="1" applyFont="1" applyFill="1" applyBorder="1" applyAlignment="1">
      <alignment horizontal="left" vertical="center"/>
    </xf>
    <xf numFmtId="49" fontId="0" fillId="0" borderId="0" xfId="0" applyNumberFormat="1"/>
    <xf numFmtId="0" fontId="33" fillId="0" borderId="0" xfId="0" applyFont="1" applyAlignment="1">
      <alignment horizontal="left" vertical="center"/>
    </xf>
    <xf numFmtId="166" fontId="8" fillId="12" borderId="4" xfId="0" applyNumberFormat="1" applyFont="1" applyFill="1" applyBorder="1" applyAlignment="1">
      <alignment horizontal="left" vertical="center"/>
    </xf>
    <xf numFmtId="165" fontId="8" fillId="12" borderId="4" xfId="2" applyNumberFormat="1" applyFont="1" applyFill="1" applyBorder="1" applyAlignment="1">
      <alignment horizontal="left" vertical="center"/>
    </xf>
    <xf numFmtId="0" fontId="7" fillId="12" borderId="1" xfId="0" applyFont="1" applyFill="1" applyBorder="1" applyAlignment="1">
      <alignment horizontal="left" vertical="center"/>
    </xf>
    <xf numFmtId="0" fontId="8" fillId="12" borderId="4" xfId="0" applyFont="1" applyFill="1" applyBorder="1" applyAlignment="1">
      <alignment horizontal="left" vertical="center"/>
    </xf>
    <xf numFmtId="49" fontId="33" fillId="0" borderId="0" xfId="0" applyNumberFormat="1" applyFont="1" applyAlignment="1">
      <alignment vertical="center"/>
    </xf>
    <xf numFmtId="0" fontId="16" fillId="11" borderId="0" xfId="0" applyFont="1" applyFill="1" applyAlignment="1">
      <alignment horizontal="left" vertical="center"/>
    </xf>
    <xf numFmtId="0" fontId="10" fillId="12" borderId="1" xfId="0" applyFont="1" applyFill="1" applyBorder="1" applyAlignment="1">
      <alignment horizontal="left" vertical="center"/>
    </xf>
    <xf numFmtId="0" fontId="11" fillId="12" borderId="4" xfId="0" applyFont="1" applyFill="1" applyBorder="1" applyAlignment="1">
      <alignment horizontal="left" vertical="center"/>
    </xf>
    <xf numFmtId="9" fontId="8" fillId="12" borderId="4" xfId="2" applyFont="1" applyFill="1" applyBorder="1" applyAlignment="1">
      <alignment horizontal="left" vertical="center"/>
    </xf>
    <xf numFmtId="0" fontId="7" fillId="12" borderId="1" xfId="0" applyFont="1" applyFill="1" applyBorder="1" applyAlignment="1">
      <alignment vertical="top"/>
    </xf>
    <xf numFmtId="0" fontId="8" fillId="12" borderId="4" xfId="0" applyFont="1" applyFill="1" applyBorder="1" applyAlignment="1">
      <alignment horizontal="left" vertical="center" wrapText="1"/>
    </xf>
    <xf numFmtId="0" fontId="29" fillId="0" borderId="5" xfId="0" applyFont="1" applyBorder="1"/>
    <xf numFmtId="0" fontId="29" fillId="0" borderId="6" xfId="0" applyFont="1" applyBorder="1"/>
    <xf numFmtId="0" fontId="29" fillId="0" borderId="7" xfId="0" applyFont="1" applyBorder="1"/>
    <xf numFmtId="0" fontId="29" fillId="0" borderId="10" xfId="0" applyFont="1" applyBorder="1"/>
    <xf numFmtId="0" fontId="29" fillId="0" borderId="11" xfId="0" applyFont="1" applyBorder="1"/>
    <xf numFmtId="0" fontId="29" fillId="0" borderId="2" xfId="0" applyFont="1" applyBorder="1"/>
    <xf numFmtId="0" fontId="29" fillId="0" borderId="3" xfId="0" applyFont="1" applyBorder="1"/>
    <xf numFmtId="0" fontId="29" fillId="0" borderId="8" xfId="0" applyFont="1" applyBorder="1"/>
    <xf numFmtId="0" fontId="37" fillId="0" borderId="0" xfId="0" applyFont="1" applyAlignment="1">
      <alignment horizontal="left" vertical="center"/>
    </xf>
    <xf numFmtId="0" fontId="38" fillId="0" borderId="0" xfId="0" applyFont="1" applyAlignment="1">
      <alignment horizontal="left" vertical="center"/>
    </xf>
    <xf numFmtId="49" fontId="38" fillId="0" borderId="0" xfId="0" applyNumberFormat="1" applyFont="1" applyAlignment="1">
      <alignment horizontal="left" vertical="center"/>
    </xf>
    <xf numFmtId="0" fontId="39" fillId="0" borderId="0" xfId="0" applyFont="1" applyAlignment="1">
      <alignment vertical="center"/>
    </xf>
    <xf numFmtId="0" fontId="13" fillId="13" borderId="2" xfId="0" applyFont="1" applyFill="1" applyBorder="1" applyAlignment="1">
      <alignment horizontal="left" vertical="center"/>
    </xf>
    <xf numFmtId="0" fontId="13" fillId="13" borderId="3" xfId="0" applyFont="1" applyFill="1" applyBorder="1"/>
    <xf numFmtId="0" fontId="13" fillId="13" borderId="8" xfId="0" applyFont="1" applyFill="1" applyBorder="1"/>
    <xf numFmtId="0" fontId="16" fillId="13" borderId="1" xfId="0" applyFont="1" applyFill="1" applyBorder="1" applyAlignment="1">
      <alignment horizontal="left" vertical="center"/>
    </xf>
    <xf numFmtId="0" fontId="16" fillId="13" borderId="9" xfId="0" applyFont="1" applyFill="1" applyBorder="1" applyAlignment="1">
      <alignment horizontal="left" vertical="center"/>
    </xf>
    <xf numFmtId="166" fontId="16" fillId="13" borderId="9" xfId="0" applyNumberFormat="1" applyFont="1" applyFill="1" applyBorder="1" applyAlignment="1">
      <alignment horizontal="left" vertical="center"/>
    </xf>
    <xf numFmtId="10" fontId="16" fillId="13" borderId="9" xfId="2" applyNumberFormat="1" applyFont="1" applyFill="1" applyBorder="1" applyAlignment="1">
      <alignment horizontal="left" vertical="center"/>
    </xf>
    <xf numFmtId="166" fontId="16" fillId="13" borderId="4" xfId="0" applyNumberFormat="1" applyFont="1" applyFill="1" applyBorder="1" applyAlignment="1">
      <alignment horizontal="left" vertical="center"/>
    </xf>
    <xf numFmtId="0" fontId="13" fillId="13" borderId="10" xfId="0" applyFont="1" applyFill="1" applyBorder="1" applyAlignment="1">
      <alignment vertical="center"/>
    </xf>
    <xf numFmtId="0" fontId="13" fillId="13" borderId="0" xfId="0" applyFont="1" applyFill="1" applyAlignment="1">
      <alignment vertical="center"/>
    </xf>
    <xf numFmtId="0" fontId="13" fillId="13" borderId="11" xfId="0" applyFont="1" applyFill="1" applyBorder="1"/>
    <xf numFmtId="0" fontId="7" fillId="14" borderId="1" xfId="0" applyFont="1" applyFill="1" applyBorder="1" applyAlignment="1">
      <alignment horizontal="left" vertical="center"/>
    </xf>
    <xf numFmtId="0" fontId="8" fillId="14" borderId="4" xfId="0" applyFont="1" applyFill="1" applyBorder="1" applyAlignment="1">
      <alignment horizontal="left" vertical="center"/>
    </xf>
    <xf numFmtId="166" fontId="8" fillId="14" borderId="4" xfId="0" applyNumberFormat="1" applyFont="1" applyFill="1" applyBorder="1" applyAlignment="1">
      <alignment horizontal="left" vertical="center"/>
    </xf>
    <xf numFmtId="165" fontId="8" fillId="14" borderId="4" xfId="2" applyNumberFormat="1" applyFont="1" applyFill="1" applyBorder="1" applyAlignment="1">
      <alignment horizontal="left" vertical="center"/>
    </xf>
    <xf numFmtId="49" fontId="8" fillId="14" borderId="4" xfId="0" applyNumberFormat="1" applyFont="1" applyFill="1" applyBorder="1" applyAlignment="1">
      <alignment horizontal="left" vertical="center"/>
    </xf>
    <xf numFmtId="49" fontId="10" fillId="14" borderId="1" xfId="0" applyNumberFormat="1" applyFont="1" applyFill="1" applyBorder="1" applyAlignment="1">
      <alignment horizontal="left" vertical="center"/>
    </xf>
    <xf numFmtId="166" fontId="8" fillId="14" borderId="9" xfId="0" applyNumberFormat="1" applyFont="1" applyFill="1" applyBorder="1" applyAlignment="1">
      <alignment horizontal="left" vertical="center"/>
    </xf>
    <xf numFmtId="49" fontId="7" fillId="14" borderId="1" xfId="0" applyNumberFormat="1" applyFont="1" applyFill="1" applyBorder="1" applyAlignment="1">
      <alignment horizontal="left"/>
    </xf>
    <xf numFmtId="0" fontId="10" fillId="14" borderId="1" xfId="0" applyFont="1" applyFill="1" applyBorder="1" applyAlignment="1">
      <alignment horizontal="left" vertical="center"/>
    </xf>
    <xf numFmtId="0" fontId="11" fillId="14" borderId="4" xfId="0" applyFont="1" applyFill="1" applyBorder="1"/>
    <xf numFmtId="166" fontId="11" fillId="14" borderId="4" xfId="0" applyNumberFormat="1" applyFont="1" applyFill="1" applyBorder="1" applyAlignment="1">
      <alignment horizontal="left" vertical="center"/>
    </xf>
    <xf numFmtId="49" fontId="11" fillId="14" borderId="4" xfId="0" applyNumberFormat="1" applyFont="1" applyFill="1" applyBorder="1"/>
    <xf numFmtId="0" fontId="10" fillId="14" borderId="9" xfId="0" applyFont="1" applyFill="1" applyBorder="1" applyAlignment="1">
      <alignment horizontal="left" vertical="center"/>
    </xf>
    <xf numFmtId="0" fontId="11" fillId="14" borderId="9" xfId="0" applyFont="1" applyFill="1" applyBorder="1" applyAlignment="1">
      <alignment horizontal="left" vertical="center"/>
    </xf>
    <xf numFmtId="166" fontId="11" fillId="14" borderId="9" xfId="0" applyNumberFormat="1" applyFont="1" applyFill="1" applyBorder="1" applyAlignment="1">
      <alignment horizontal="left" vertical="center"/>
    </xf>
    <xf numFmtId="10" fontId="11" fillId="14" borderId="9" xfId="2" applyNumberFormat="1" applyFont="1" applyFill="1" applyBorder="1" applyAlignment="1">
      <alignment horizontal="left" vertical="center"/>
    </xf>
    <xf numFmtId="10" fontId="11" fillId="14" borderId="9" xfId="0" applyNumberFormat="1" applyFont="1" applyFill="1" applyBorder="1" applyAlignment="1">
      <alignment horizontal="left" vertical="center"/>
    </xf>
    <xf numFmtId="49" fontId="11" fillId="14" borderId="9" xfId="0" applyNumberFormat="1" applyFont="1" applyFill="1" applyBorder="1"/>
    <xf numFmtId="49" fontId="8" fillId="14" borderId="9" xfId="0" applyNumberFormat="1" applyFont="1" applyFill="1" applyBorder="1"/>
    <xf numFmtId="166" fontId="8" fillId="14" borderId="9" xfId="0" applyNumberFormat="1" applyFont="1" applyFill="1" applyBorder="1" applyAlignment="1">
      <alignment horizontal="left"/>
    </xf>
    <xf numFmtId="166" fontId="8" fillId="14" borderId="4" xfId="0" applyNumberFormat="1" applyFont="1" applyFill="1" applyBorder="1" applyAlignment="1">
      <alignment horizontal="left"/>
    </xf>
    <xf numFmtId="49" fontId="10" fillId="14" borderId="5" xfId="0" applyNumberFormat="1" applyFont="1" applyFill="1" applyBorder="1" applyAlignment="1">
      <alignment horizontal="left" vertical="center"/>
    </xf>
    <xf numFmtId="166" fontId="11" fillId="14" borderId="6" xfId="0" applyNumberFormat="1" applyFont="1" applyFill="1" applyBorder="1" applyAlignment="1">
      <alignment horizontal="left" vertical="center"/>
    </xf>
    <xf numFmtId="0" fontId="41" fillId="0" borderId="0" xfId="0" applyFont="1" applyAlignment="1">
      <alignment horizontal="left" vertical="center"/>
    </xf>
    <xf numFmtId="49" fontId="41" fillId="0" borderId="0" xfId="0" applyNumberFormat="1" applyFont="1" applyAlignment="1">
      <alignment horizontal="left" vertical="center"/>
    </xf>
    <xf numFmtId="0" fontId="42" fillId="0" borderId="0" xfId="0" applyFont="1" applyAlignment="1">
      <alignment horizontal="left" vertical="center"/>
    </xf>
    <xf numFmtId="0" fontId="43" fillId="0" borderId="0" xfId="0" applyFont="1" applyAlignment="1">
      <alignment vertical="center"/>
    </xf>
    <xf numFmtId="0" fontId="13" fillId="15" borderId="10" xfId="0" applyFont="1" applyFill="1" applyBorder="1" applyAlignment="1">
      <alignment vertical="center"/>
    </xf>
    <xf numFmtId="0" fontId="13" fillId="15" borderId="0" xfId="0" applyFont="1" applyFill="1" applyAlignment="1">
      <alignment vertical="center"/>
    </xf>
    <xf numFmtId="0" fontId="13" fillId="15" borderId="11" xfId="0" applyFont="1" applyFill="1" applyBorder="1" applyAlignment="1">
      <alignment vertical="center"/>
    </xf>
    <xf numFmtId="166" fontId="16" fillId="11" borderId="0" xfId="0" applyNumberFormat="1" applyFont="1" applyFill="1" applyAlignment="1">
      <alignment horizontal="left" vertical="center"/>
    </xf>
    <xf numFmtId="0" fontId="35" fillId="0" borderId="0" xfId="0" applyFont="1" applyAlignment="1">
      <alignment vertical="center"/>
    </xf>
    <xf numFmtId="0" fontId="17" fillId="0" borderId="0" xfId="0" applyFont="1" applyAlignment="1">
      <alignment vertical="center"/>
    </xf>
    <xf numFmtId="0" fontId="0" fillId="0" borderId="0" xfId="0" applyAlignment="1">
      <alignment vertical="center"/>
    </xf>
    <xf numFmtId="0" fontId="45" fillId="0" borderId="0" xfId="0" applyFont="1" applyAlignment="1">
      <alignment horizontal="center" vertical="center"/>
    </xf>
    <xf numFmtId="0" fontId="44" fillId="0" borderId="0" xfId="0" applyFont="1" applyAlignment="1">
      <alignment vertical="center"/>
    </xf>
    <xf numFmtId="0" fontId="45" fillId="0" borderId="0" xfId="0" applyFont="1" applyAlignment="1">
      <alignment vertical="center"/>
    </xf>
    <xf numFmtId="0" fontId="8" fillId="17" borderId="14" xfId="0" applyFont="1" applyFill="1" applyBorder="1" applyAlignment="1">
      <alignment horizontal="left" vertical="center"/>
    </xf>
    <xf numFmtId="0" fontId="8" fillId="17" borderId="12" xfId="0" applyFont="1" applyFill="1" applyBorder="1" applyAlignment="1">
      <alignment horizontal="left" vertical="center"/>
    </xf>
    <xf numFmtId="0" fontId="47" fillId="17" borderId="5" xfId="3" applyFont="1" applyFill="1" applyBorder="1" applyAlignment="1">
      <alignment horizontal="left" vertical="center"/>
    </xf>
    <xf numFmtId="0" fontId="47" fillId="17" borderId="2" xfId="3" applyFont="1" applyFill="1" applyBorder="1" applyAlignment="1">
      <alignment horizontal="left" vertical="center"/>
    </xf>
    <xf numFmtId="0" fontId="8" fillId="17" borderId="7" xfId="0" applyFont="1" applyFill="1" applyBorder="1" applyAlignment="1">
      <alignment horizontal="left" vertical="center" wrapText="1"/>
    </xf>
    <xf numFmtId="0" fontId="8" fillId="17" borderId="8" xfId="0" applyFont="1" applyFill="1" applyBorder="1" applyAlignment="1">
      <alignment horizontal="left" vertical="center" wrapText="1"/>
    </xf>
    <xf numFmtId="0" fontId="29" fillId="17" borderId="13" xfId="0" applyFont="1" applyFill="1" applyBorder="1" applyAlignment="1">
      <alignment horizontal="left" vertical="center" wrapText="1"/>
    </xf>
    <xf numFmtId="0" fontId="29" fillId="17" borderId="14" xfId="0" applyFont="1" applyFill="1" applyBorder="1" applyAlignment="1">
      <alignment horizontal="left" vertical="center" wrapText="1"/>
    </xf>
    <xf numFmtId="0" fontId="29" fillId="17" borderId="15" xfId="0" applyFont="1" applyFill="1" applyBorder="1" applyAlignment="1">
      <alignment horizontal="left" vertical="center" wrapText="1"/>
    </xf>
    <xf numFmtId="0" fontId="8" fillId="17" borderId="8" xfId="0" applyFont="1" applyFill="1" applyBorder="1" applyAlignment="1">
      <alignment horizontal="left" vertical="center"/>
    </xf>
    <xf numFmtId="0" fontId="8" fillId="17" borderId="11" xfId="0" applyFont="1" applyFill="1" applyBorder="1" applyAlignment="1">
      <alignment horizontal="left" vertical="center" wrapText="1"/>
    </xf>
    <xf numFmtId="0" fontId="6" fillId="16" borderId="13" xfId="0" applyFont="1" applyFill="1" applyBorder="1" applyAlignment="1">
      <alignment horizontal="left" vertical="center"/>
    </xf>
    <xf numFmtId="0" fontId="6" fillId="16" borderId="14" xfId="0" applyFont="1" applyFill="1" applyBorder="1" applyAlignment="1">
      <alignment horizontal="left" vertical="center"/>
    </xf>
    <xf numFmtId="0" fontId="45" fillId="0" borderId="0" xfId="0" applyFont="1" applyAlignment="1">
      <alignment horizontal="center" vertical="center"/>
    </xf>
    <xf numFmtId="0" fontId="6" fillId="16" borderId="15" xfId="0" applyFont="1" applyFill="1" applyBorder="1" applyAlignment="1">
      <alignment horizontal="left" vertical="center"/>
    </xf>
    <xf numFmtId="0" fontId="6" fillId="16" borderId="5" xfId="0" applyFont="1" applyFill="1" applyBorder="1" applyAlignment="1">
      <alignment horizontal="center" vertical="center"/>
    </xf>
    <xf numFmtId="0" fontId="6" fillId="16" borderId="7" xfId="0" applyFont="1" applyFill="1" applyBorder="1" applyAlignment="1">
      <alignment horizontal="center" vertical="center"/>
    </xf>
    <xf numFmtId="0" fontId="6" fillId="16" borderId="2" xfId="0" applyFont="1" applyFill="1" applyBorder="1" applyAlignment="1">
      <alignment horizontal="center" vertical="center"/>
    </xf>
    <xf numFmtId="0" fontId="6" fillId="16" borderId="8" xfId="0" applyFont="1" applyFill="1" applyBorder="1" applyAlignment="1">
      <alignment horizontal="center" vertical="center"/>
    </xf>
    <xf numFmtId="0" fontId="8" fillId="17" borderId="13" xfId="0" applyFont="1" applyFill="1" applyBorder="1" applyAlignment="1">
      <alignment horizontal="left" vertical="center" wrapText="1"/>
    </xf>
    <xf numFmtId="0" fontId="8" fillId="17" borderId="15" xfId="0" applyFont="1" applyFill="1" applyBorder="1" applyAlignment="1">
      <alignment horizontal="left" vertical="center" wrapText="1"/>
    </xf>
    <xf numFmtId="0" fontId="8" fillId="17" borderId="14" xfId="0" applyFont="1" applyFill="1" applyBorder="1" applyAlignment="1">
      <alignment horizontal="left" vertical="center" wrapText="1"/>
    </xf>
    <xf numFmtId="0" fontId="47" fillId="17" borderId="10" xfId="3" applyFont="1" applyFill="1" applyBorder="1" applyAlignment="1">
      <alignment horizontal="left" vertical="center"/>
    </xf>
    <xf numFmtId="0" fontId="35" fillId="0" borderId="0" xfId="0" applyFont="1" applyAlignment="1">
      <alignment horizontal="center" vertical="center"/>
    </xf>
    <xf numFmtId="0" fontId="44" fillId="0" borderId="0" xfId="0" applyFont="1" applyAlignment="1">
      <alignment horizontal="center" vertical="center"/>
    </xf>
    <xf numFmtId="0" fontId="6" fillId="3" borderId="1" xfId="0" applyFont="1" applyFill="1" applyBorder="1" applyAlignment="1">
      <alignment horizontal="left" vertical="center"/>
    </xf>
    <xf numFmtId="0" fontId="6" fillId="3" borderId="4" xfId="0" applyFont="1" applyFill="1" applyBorder="1" applyAlignment="1">
      <alignment horizontal="left" vertical="center"/>
    </xf>
    <xf numFmtId="0" fontId="20" fillId="0" borderId="0" xfId="0" applyFont="1" applyAlignment="1">
      <alignment horizontal="left"/>
    </xf>
    <xf numFmtId="0" fontId="8" fillId="4" borderId="1" xfId="0" applyFont="1" applyFill="1" applyBorder="1" applyAlignment="1">
      <alignment horizontal="left" vertical="top"/>
    </xf>
    <xf numFmtId="0" fontId="8" fillId="4" borderId="4" xfId="0" applyFont="1" applyFill="1" applyBorder="1" applyAlignment="1">
      <alignment horizontal="left" vertical="top"/>
    </xf>
    <xf numFmtId="0" fontId="22" fillId="5" borderId="1" xfId="0" applyFont="1" applyFill="1" applyBorder="1" applyAlignment="1">
      <alignment horizontal="left" vertical="top"/>
    </xf>
    <xf numFmtId="0" fontId="22" fillId="5" borderId="4" xfId="0" applyFont="1" applyFill="1" applyBorder="1" applyAlignment="1">
      <alignment horizontal="left" vertical="top"/>
    </xf>
    <xf numFmtId="0" fontId="34" fillId="0" borderId="0" xfId="0" applyFont="1" applyAlignment="1">
      <alignment horizontal="left"/>
    </xf>
    <xf numFmtId="0" fontId="6" fillId="11" borderId="1" xfId="0" applyFont="1" applyFill="1" applyBorder="1" applyAlignment="1">
      <alignment horizontal="left" vertical="center"/>
    </xf>
    <xf numFmtId="0" fontId="6" fillId="11" borderId="4" xfId="0" applyFont="1" applyFill="1" applyBorder="1" applyAlignment="1">
      <alignment horizontal="left" vertical="center"/>
    </xf>
    <xf numFmtId="0" fontId="26" fillId="0" borderId="0" xfId="0" applyFont="1" applyAlignment="1">
      <alignment horizontal="left" vertical="center"/>
    </xf>
    <xf numFmtId="0" fontId="27" fillId="0" borderId="0" xfId="0" applyFont="1" applyAlignment="1">
      <alignment horizontal="left" vertical="center"/>
    </xf>
    <xf numFmtId="0" fontId="6" fillId="8" borderId="5" xfId="0" applyFont="1" applyFill="1" applyBorder="1" applyAlignment="1">
      <alignment horizontal="left" vertical="center"/>
    </xf>
    <xf numFmtId="0" fontId="6" fillId="8" borderId="6" xfId="0" applyFont="1" applyFill="1" applyBorder="1" applyAlignment="1">
      <alignment horizontal="left" vertical="center"/>
    </xf>
    <xf numFmtId="0" fontId="6" fillId="8" borderId="7" xfId="0" applyFont="1" applyFill="1" applyBorder="1" applyAlignment="1">
      <alignment horizontal="left" vertical="center"/>
    </xf>
    <xf numFmtId="0" fontId="6" fillId="8" borderId="5" xfId="0" applyFont="1" applyFill="1" applyBorder="1" applyAlignment="1">
      <alignment vertical="center"/>
    </xf>
    <xf numFmtId="0" fontId="6" fillId="8" borderId="7" xfId="0" applyFont="1" applyFill="1" applyBorder="1" applyAlignment="1">
      <alignment vertical="center"/>
    </xf>
    <xf numFmtId="0" fontId="6" fillId="2" borderId="5" xfId="0" applyFont="1" applyFill="1" applyBorder="1" applyAlignment="1">
      <alignment horizontal="left" vertical="center"/>
    </xf>
    <xf numFmtId="0" fontId="6" fillId="2" borderId="7" xfId="0" applyFont="1" applyFill="1" applyBorder="1" applyAlignment="1">
      <alignment horizontal="left" vertical="center"/>
    </xf>
    <xf numFmtId="0" fontId="23" fillId="0" borderId="0" xfId="0" applyFont="1" applyAlignment="1">
      <alignment horizontal="left" vertical="center"/>
    </xf>
    <xf numFmtId="0" fontId="24" fillId="0" borderId="0" xfId="0" applyFont="1" applyAlignment="1">
      <alignment horizontal="left" vertical="center"/>
    </xf>
    <xf numFmtId="0" fontId="6" fillId="2" borderId="6" xfId="0" applyFont="1" applyFill="1" applyBorder="1" applyAlignment="1">
      <alignment horizontal="left" vertical="center"/>
    </xf>
    <xf numFmtId="0" fontId="40" fillId="0" borderId="0" xfId="0" applyFont="1" applyAlignment="1">
      <alignment horizontal="left" vertical="center"/>
    </xf>
    <xf numFmtId="0" fontId="6" fillId="15" borderId="5" xfId="0" applyFont="1" applyFill="1" applyBorder="1" applyAlignment="1">
      <alignment horizontal="left" vertical="center"/>
    </xf>
    <xf numFmtId="0" fontId="6" fillId="15" borderId="7" xfId="0" applyFont="1" applyFill="1" applyBorder="1" applyAlignment="1">
      <alignment horizontal="left" vertical="center"/>
    </xf>
    <xf numFmtId="0" fontId="6" fillId="15" borderId="5" xfId="0" applyFont="1" applyFill="1" applyBorder="1" applyAlignment="1">
      <alignment horizontal="left"/>
    </xf>
    <xf numFmtId="0" fontId="6" fillId="15" borderId="6" xfId="0" applyFont="1" applyFill="1" applyBorder="1" applyAlignment="1">
      <alignment horizontal="left"/>
    </xf>
    <xf numFmtId="0" fontId="6" fillId="15" borderId="7" xfId="0" applyFont="1" applyFill="1" applyBorder="1" applyAlignment="1">
      <alignment horizontal="left"/>
    </xf>
    <xf numFmtId="0" fontId="36" fillId="0" borderId="0" xfId="0" applyFont="1" applyAlignment="1">
      <alignment horizontal="left" vertical="center"/>
    </xf>
    <xf numFmtId="0" fontId="37" fillId="0" borderId="0" xfId="0" applyFont="1" applyAlignment="1">
      <alignment horizontal="left" vertical="center"/>
    </xf>
    <xf numFmtId="0" fontId="6" fillId="13" borderId="1" xfId="0" applyFont="1" applyFill="1" applyBorder="1" applyAlignment="1">
      <alignment vertical="center"/>
    </xf>
    <xf numFmtId="0" fontId="6" fillId="13" borderId="4" xfId="0" applyFont="1" applyFill="1" applyBorder="1" applyAlignment="1">
      <alignment vertical="center"/>
    </xf>
    <xf numFmtId="0" fontId="6" fillId="13" borderId="5" xfId="0" applyFont="1" applyFill="1" applyBorder="1" applyAlignment="1">
      <alignment horizontal="left" vertical="center"/>
    </xf>
    <xf numFmtId="0" fontId="6" fillId="13" borderId="6" xfId="0" applyFont="1" applyFill="1" applyBorder="1" applyAlignment="1">
      <alignment horizontal="left" vertical="center"/>
    </xf>
    <xf numFmtId="0" fontId="6" fillId="13" borderId="7" xfId="0" applyFont="1" applyFill="1" applyBorder="1" applyAlignment="1">
      <alignment horizontal="left" vertical="center"/>
    </xf>
    <xf numFmtId="166" fontId="29" fillId="10" borderId="1" xfId="0" applyNumberFormat="1" applyFont="1" applyFill="1" applyBorder="1" applyAlignment="1">
      <alignment horizontal="left" vertical="center"/>
    </xf>
    <xf numFmtId="166" fontId="29" fillId="10" borderId="9" xfId="0" applyNumberFormat="1" applyFont="1" applyFill="1" applyBorder="1" applyAlignment="1">
      <alignment horizontal="left" vertical="center"/>
    </xf>
    <xf numFmtId="166" fontId="29" fillId="10" borderId="4" xfId="0" applyNumberFormat="1" applyFont="1" applyFill="1" applyBorder="1" applyAlignment="1">
      <alignment horizontal="left" vertical="center"/>
    </xf>
    <xf numFmtId="0" fontId="19" fillId="0" borderId="0" xfId="0" applyFont="1" applyAlignment="1">
      <alignment horizontal="left" vertical="center"/>
    </xf>
    <xf numFmtId="0" fontId="6" fillId="9" borderId="5" xfId="0" applyFont="1" applyFill="1" applyBorder="1" applyAlignment="1">
      <alignment vertical="center"/>
    </xf>
    <xf numFmtId="0" fontId="6" fillId="9" borderId="6" xfId="0" applyFont="1" applyFill="1" applyBorder="1" applyAlignment="1">
      <alignment vertical="center"/>
    </xf>
    <xf numFmtId="0" fontId="6" fillId="9" borderId="7" xfId="0" applyFont="1" applyFill="1" applyBorder="1" applyAlignment="1">
      <alignment vertical="center"/>
    </xf>
    <xf numFmtId="0" fontId="6" fillId="9" borderId="1" xfId="0" applyFont="1" applyFill="1" applyBorder="1" applyAlignment="1">
      <alignment vertical="center"/>
    </xf>
    <xf numFmtId="0" fontId="6" fillId="9" borderId="9" xfId="0" applyFont="1" applyFill="1" applyBorder="1" applyAlignment="1">
      <alignment vertical="center"/>
    </xf>
    <xf numFmtId="0" fontId="6" fillId="9" borderId="4" xfId="0" applyFont="1" applyFill="1" applyBorder="1" applyAlignment="1">
      <alignment vertical="center"/>
    </xf>
  </cellXfs>
  <cellStyles count="4">
    <cellStyle name="Currency" xfId="1" builtinId="4"/>
    <cellStyle name="Hyperlink" xfId="3" builtinId="8"/>
    <cellStyle name="Normal" xfId="0" builtinId="0"/>
    <cellStyle name="Percent" xfId="2" builtinId="5"/>
  </cellStyles>
  <dxfs count="0"/>
  <tableStyles count="0" defaultTableStyle="TableStyleMedium2" defaultPivotStyle="PivotStyleLight16"/>
  <colors>
    <mruColors>
      <color rgb="FFE7E6E6"/>
      <color rgb="FF44546A"/>
      <color rgb="FFB27D57"/>
      <color rgb="FF173125"/>
      <color rgb="FF424C21"/>
      <color rgb="FFD5FED6"/>
      <color rgb="FFFFFDA9"/>
      <color rgb="FFD5FDA9"/>
      <color rgb="FF7D8769"/>
      <color rgb="FFE1D9C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Current Assets vs. Liabilities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solidFill>
                <a:schemeClr val="accent4"/>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570F-4D43-B585-8658831688C1}"/>
              </c:ext>
            </c:extLst>
          </c:dPt>
          <c:dPt>
            <c:idx val="1"/>
            <c:invertIfNegative val="0"/>
            <c:bubble3D val="0"/>
            <c:spPr>
              <a:solidFill>
                <a:schemeClr val="accent1"/>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0-94B7-804E-A8F0-D6C1A2F8BE0B}"/>
              </c:ext>
            </c:extLst>
          </c:dPt>
          <c:dLbls>
            <c:dLbl>
              <c:idx val="0"/>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70F-4D43-B585-8658831688C1}"/>
                </c:ext>
              </c:extLst>
            </c:dLbl>
            <c:dLbl>
              <c:idx val="1"/>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4B7-804E-A8F0-D6C1A2F8BE0B}"/>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('Financial Position'!$B$14,'Financial Position'!$B$23)</c:f>
              <c:strCache>
                <c:ptCount val="2"/>
                <c:pt idx="0">
                  <c:v>Total Assets</c:v>
                </c:pt>
                <c:pt idx="1">
                  <c:v>Total Liabilities</c:v>
                </c:pt>
              </c:strCache>
            </c:strRef>
          </c:cat>
          <c:val>
            <c:numRef>
              <c:f>('Financial Position'!$D$14,'Financial Position'!$D$23)</c:f>
              <c:numCache>
                <c:formatCode>"$"#,##0.00</c:formatCode>
                <c:ptCount val="2"/>
                <c:pt idx="0">
                  <c:v>30050</c:v>
                </c:pt>
                <c:pt idx="1">
                  <c:v>34650</c:v>
                </c:pt>
              </c:numCache>
            </c:numRef>
          </c:val>
          <c:extLst>
            <c:ext xmlns:c16="http://schemas.microsoft.com/office/drawing/2014/chart" uri="{C3380CC4-5D6E-409C-BE32-E72D297353CC}">
              <c16:uniqueId val="{00000000-570F-4D43-B585-8658831688C1}"/>
            </c:ext>
          </c:extLst>
        </c:ser>
        <c:dLbls>
          <c:showLegendKey val="0"/>
          <c:showVal val="0"/>
          <c:showCatName val="0"/>
          <c:showSerName val="0"/>
          <c:showPercent val="0"/>
          <c:showBubbleSize val="0"/>
        </c:dLbls>
        <c:gapWidth val="115"/>
        <c:overlap val="-20"/>
        <c:axId val="905993215"/>
        <c:axId val="978679359"/>
      </c:barChart>
      <c:catAx>
        <c:axId val="905993215"/>
        <c:scaling>
          <c:orientation val="maxMin"/>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978679359"/>
        <c:crosses val="autoZero"/>
        <c:auto val="1"/>
        <c:lblAlgn val="ctr"/>
        <c:lblOffset val="100"/>
        <c:noMultiLvlLbl val="0"/>
      </c:catAx>
      <c:valAx>
        <c:axId val="978679359"/>
        <c:scaling>
          <c:orientation val="minMax"/>
          <c:min val="0"/>
        </c:scaling>
        <c:delete val="0"/>
        <c:axPos val="b"/>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905993215"/>
        <c:crosses val="max"/>
        <c:crossBetween val="between"/>
        <c:majorUnit val="100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Debt Payoff Timeline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v>Chase Card</c:v>
          </c:tx>
          <c:spPr>
            <a:ln w="34925" cap="rnd">
              <a:solidFill>
                <a:schemeClr val="accent1"/>
              </a:solidFill>
              <a:round/>
            </a:ln>
            <a:effectLst>
              <a:outerShdw blurRad="57150" dist="19050" dir="5400000" algn="ctr" rotWithShape="0">
                <a:srgbClr val="000000">
                  <a:alpha val="63000"/>
                </a:srgbClr>
              </a:outerShdw>
            </a:effectLst>
          </c:spPr>
          <c:marker>
            <c:symbol val="none"/>
          </c:marker>
          <c:cat>
            <c:strRef>
              <c:f>'Debt Payoff'!$B$35:$B$75</c:f>
              <c:strCache>
                <c:ptCount val="41"/>
                <c:pt idx="0">
                  <c:v>September 2026</c:v>
                </c:pt>
                <c:pt idx="1">
                  <c:v>October 2026</c:v>
                </c:pt>
                <c:pt idx="2">
                  <c:v>November 2026</c:v>
                </c:pt>
                <c:pt idx="3">
                  <c:v>December 2026</c:v>
                </c:pt>
                <c:pt idx="4">
                  <c:v>January 2027</c:v>
                </c:pt>
                <c:pt idx="5">
                  <c:v>February 2027</c:v>
                </c:pt>
                <c:pt idx="6">
                  <c:v>March 2027</c:v>
                </c:pt>
                <c:pt idx="7">
                  <c:v>April 2027</c:v>
                </c:pt>
                <c:pt idx="8">
                  <c:v>May 2027</c:v>
                </c:pt>
                <c:pt idx="9">
                  <c:v>June 2027</c:v>
                </c:pt>
                <c:pt idx="10">
                  <c:v>July 2027</c:v>
                </c:pt>
                <c:pt idx="11">
                  <c:v>August 2027</c:v>
                </c:pt>
                <c:pt idx="12">
                  <c:v>September 2027</c:v>
                </c:pt>
                <c:pt idx="13">
                  <c:v>October 2027</c:v>
                </c:pt>
                <c:pt idx="14">
                  <c:v>November 2027</c:v>
                </c:pt>
                <c:pt idx="15">
                  <c:v>December 2027</c:v>
                </c:pt>
                <c:pt idx="16">
                  <c:v>January 2028</c:v>
                </c:pt>
                <c:pt idx="17">
                  <c:v>February 2028</c:v>
                </c:pt>
                <c:pt idx="18">
                  <c:v>March 2028</c:v>
                </c:pt>
                <c:pt idx="19">
                  <c:v>April 2028</c:v>
                </c:pt>
                <c:pt idx="20">
                  <c:v>May 2028</c:v>
                </c:pt>
                <c:pt idx="21">
                  <c:v>June 2028</c:v>
                </c:pt>
                <c:pt idx="22">
                  <c:v>July 2028</c:v>
                </c:pt>
                <c:pt idx="23">
                  <c:v>August 2028</c:v>
                </c:pt>
                <c:pt idx="24">
                  <c:v>September 2028</c:v>
                </c:pt>
                <c:pt idx="25">
                  <c:v>October 2028</c:v>
                </c:pt>
                <c:pt idx="26">
                  <c:v>November 2028</c:v>
                </c:pt>
                <c:pt idx="27">
                  <c:v>December 2028</c:v>
                </c:pt>
                <c:pt idx="28">
                  <c:v>January 2029</c:v>
                </c:pt>
                <c:pt idx="29">
                  <c:v>February 2029</c:v>
                </c:pt>
                <c:pt idx="30">
                  <c:v>March 2029</c:v>
                </c:pt>
                <c:pt idx="31">
                  <c:v>April 2029</c:v>
                </c:pt>
                <c:pt idx="32">
                  <c:v>May 2029</c:v>
                </c:pt>
                <c:pt idx="33">
                  <c:v>June 2029</c:v>
                </c:pt>
                <c:pt idx="34">
                  <c:v>July 2029</c:v>
                </c:pt>
                <c:pt idx="35">
                  <c:v>August 2029</c:v>
                </c:pt>
                <c:pt idx="36">
                  <c:v>September 2029</c:v>
                </c:pt>
                <c:pt idx="37">
                  <c:v>October 2029</c:v>
                </c:pt>
                <c:pt idx="38">
                  <c:v>November 2029</c:v>
                </c:pt>
                <c:pt idx="39">
                  <c:v>December 2029</c:v>
                </c:pt>
                <c:pt idx="40">
                  <c:v>January 2030</c:v>
                </c:pt>
              </c:strCache>
            </c:strRef>
          </c:cat>
          <c:val>
            <c:numRef>
              <c:f>'Debt Payoff'!$C$35:$C$75</c:f>
              <c:numCache>
                <c:formatCode>"$"#,##0.00</c:formatCode>
                <c:ptCount val="41"/>
                <c:pt idx="0">
                  <c:v>5400</c:v>
                </c:pt>
                <c:pt idx="1">
                  <c:v>5207.58</c:v>
                </c:pt>
                <c:pt idx="2">
                  <c:v>5010.792066</c:v>
                </c:pt>
                <c:pt idx="3">
                  <c:v>4809.5370458981997</c:v>
                </c:pt>
                <c:pt idx="4">
                  <c:v>4603.7135368400886</c:v>
                </c:pt>
                <c:pt idx="5">
                  <c:v>4393.217834126358</c:v>
                </c:pt>
                <c:pt idx="6">
                  <c:v>4177.9438789610258</c:v>
                </c:pt>
                <c:pt idx="7">
                  <c:v>3957.7832050134411</c:v>
                </c:pt>
                <c:pt idx="8">
                  <c:v>3732.624883767246</c:v>
                </c:pt>
                <c:pt idx="9">
                  <c:v>3502.3554686287625</c:v>
                </c:pt>
                <c:pt idx="10">
                  <c:v>3266.8589377666353</c:v>
                </c:pt>
                <c:pt idx="11">
                  <c:v>3026.0166356539376</c:v>
                </c:pt>
                <c:pt idx="12">
                  <c:v>2779.7072132832818</c:v>
                </c:pt>
                <c:pt idx="13">
                  <c:v>2527.806567024812</c:v>
                </c:pt>
                <c:pt idx="14">
                  <c:v>2270.1877760962752</c:v>
                </c:pt>
                <c:pt idx="15">
                  <c:v>2006.7210386136608</c:v>
                </c:pt>
                <c:pt idx="16">
                  <c:v>1737.2736061901905</c:v>
                </c:pt>
                <c:pt idx="17">
                  <c:v>1461.7097170507077</c:v>
                </c:pt>
                <c:pt idx="18">
                  <c:v>1179.8905276277587</c:v>
                </c:pt>
                <c:pt idx="19">
                  <c:v>891.67404260490889</c:v>
                </c:pt>
                <c:pt idx="20">
                  <c:v>596.91504337204026</c:v>
                </c:pt>
                <c:pt idx="21">
                  <c:v>295.46501485658553</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numCache>
            </c:numRef>
          </c:val>
          <c:smooth val="0"/>
          <c:extLst>
            <c:ext xmlns:c16="http://schemas.microsoft.com/office/drawing/2014/chart" uri="{C3380CC4-5D6E-409C-BE32-E72D297353CC}">
              <c16:uniqueId val="{00000000-E7A6-374D-9859-4C128691ED39}"/>
            </c:ext>
          </c:extLst>
        </c:ser>
        <c:ser>
          <c:idx val="1"/>
          <c:order val="1"/>
          <c:tx>
            <c:v>Discover Card</c:v>
          </c:tx>
          <c:spPr>
            <a:ln w="34925" cap="rnd">
              <a:solidFill>
                <a:schemeClr val="accent2"/>
              </a:solidFill>
              <a:round/>
            </a:ln>
            <a:effectLst>
              <a:outerShdw blurRad="57150" dist="19050" dir="5400000" algn="ctr" rotWithShape="0">
                <a:srgbClr val="000000">
                  <a:alpha val="63000"/>
                </a:srgbClr>
              </a:outerShdw>
            </a:effectLst>
          </c:spPr>
          <c:marker>
            <c:symbol val="none"/>
          </c:marker>
          <c:cat>
            <c:strRef>
              <c:f>'Debt Payoff'!$B$35:$B$75</c:f>
              <c:strCache>
                <c:ptCount val="41"/>
                <c:pt idx="0">
                  <c:v>September 2026</c:v>
                </c:pt>
                <c:pt idx="1">
                  <c:v>October 2026</c:v>
                </c:pt>
                <c:pt idx="2">
                  <c:v>November 2026</c:v>
                </c:pt>
                <c:pt idx="3">
                  <c:v>December 2026</c:v>
                </c:pt>
                <c:pt idx="4">
                  <c:v>January 2027</c:v>
                </c:pt>
                <c:pt idx="5">
                  <c:v>February 2027</c:v>
                </c:pt>
                <c:pt idx="6">
                  <c:v>March 2027</c:v>
                </c:pt>
                <c:pt idx="7">
                  <c:v>April 2027</c:v>
                </c:pt>
                <c:pt idx="8">
                  <c:v>May 2027</c:v>
                </c:pt>
                <c:pt idx="9">
                  <c:v>June 2027</c:v>
                </c:pt>
                <c:pt idx="10">
                  <c:v>July 2027</c:v>
                </c:pt>
                <c:pt idx="11">
                  <c:v>August 2027</c:v>
                </c:pt>
                <c:pt idx="12">
                  <c:v>September 2027</c:v>
                </c:pt>
                <c:pt idx="13">
                  <c:v>October 2027</c:v>
                </c:pt>
                <c:pt idx="14">
                  <c:v>November 2027</c:v>
                </c:pt>
                <c:pt idx="15">
                  <c:v>December 2027</c:v>
                </c:pt>
                <c:pt idx="16">
                  <c:v>January 2028</c:v>
                </c:pt>
                <c:pt idx="17">
                  <c:v>February 2028</c:v>
                </c:pt>
                <c:pt idx="18">
                  <c:v>March 2028</c:v>
                </c:pt>
                <c:pt idx="19">
                  <c:v>April 2028</c:v>
                </c:pt>
                <c:pt idx="20">
                  <c:v>May 2028</c:v>
                </c:pt>
                <c:pt idx="21">
                  <c:v>June 2028</c:v>
                </c:pt>
                <c:pt idx="22">
                  <c:v>July 2028</c:v>
                </c:pt>
                <c:pt idx="23">
                  <c:v>August 2028</c:v>
                </c:pt>
                <c:pt idx="24">
                  <c:v>September 2028</c:v>
                </c:pt>
                <c:pt idx="25">
                  <c:v>October 2028</c:v>
                </c:pt>
                <c:pt idx="26">
                  <c:v>November 2028</c:v>
                </c:pt>
                <c:pt idx="27">
                  <c:v>December 2028</c:v>
                </c:pt>
                <c:pt idx="28">
                  <c:v>January 2029</c:v>
                </c:pt>
                <c:pt idx="29">
                  <c:v>February 2029</c:v>
                </c:pt>
                <c:pt idx="30">
                  <c:v>March 2029</c:v>
                </c:pt>
                <c:pt idx="31">
                  <c:v>April 2029</c:v>
                </c:pt>
                <c:pt idx="32">
                  <c:v>May 2029</c:v>
                </c:pt>
                <c:pt idx="33">
                  <c:v>June 2029</c:v>
                </c:pt>
                <c:pt idx="34">
                  <c:v>July 2029</c:v>
                </c:pt>
                <c:pt idx="35">
                  <c:v>August 2029</c:v>
                </c:pt>
                <c:pt idx="36">
                  <c:v>September 2029</c:v>
                </c:pt>
                <c:pt idx="37">
                  <c:v>October 2029</c:v>
                </c:pt>
                <c:pt idx="38">
                  <c:v>November 2029</c:v>
                </c:pt>
                <c:pt idx="39">
                  <c:v>December 2029</c:v>
                </c:pt>
                <c:pt idx="40">
                  <c:v>January 2030</c:v>
                </c:pt>
              </c:strCache>
            </c:strRef>
          </c:cat>
          <c:val>
            <c:numRef>
              <c:f>'Debt Payoff'!$D$35:$D$75</c:f>
              <c:numCache>
                <c:formatCode>"$"#,##0.00</c:formatCode>
                <c:ptCount val="41"/>
                <c:pt idx="0">
                  <c:v>3100</c:v>
                </c:pt>
                <c:pt idx="1">
                  <c:v>3069.5575000000003</c:v>
                </c:pt>
                <c:pt idx="2">
                  <c:v>3038.4810349375007</c:v>
                </c:pt>
                <c:pt idx="3">
                  <c:v>3006.7574024900746</c:v>
                </c:pt>
                <c:pt idx="4">
                  <c:v>2974.3731253969308</c:v>
                </c:pt>
                <c:pt idx="5">
                  <c:v>2941.3144457333224</c:v>
                </c:pt>
                <c:pt idx="6">
                  <c:v>2907.5673190657189</c:v>
                </c:pt>
                <c:pt idx="7">
                  <c:v>2873.1174084852628</c:v>
                </c:pt>
                <c:pt idx="8">
                  <c:v>2837.9500785169685</c:v>
                </c:pt>
                <c:pt idx="9">
                  <c:v>2802.0503889020847</c:v>
                </c:pt>
                <c:pt idx="10">
                  <c:v>2765.403088250971</c:v>
                </c:pt>
                <c:pt idx="11">
                  <c:v>2727.9926075637977</c:v>
                </c:pt>
                <c:pt idx="12">
                  <c:v>2689.8030536163142</c:v>
                </c:pt>
                <c:pt idx="13">
                  <c:v>2650.818202207874</c:v>
                </c:pt>
                <c:pt idx="14">
                  <c:v>2611.0214912688534</c:v>
                </c:pt>
                <c:pt idx="15">
                  <c:v>2570.3960138245275</c:v>
                </c:pt>
                <c:pt idx="16">
                  <c:v>2528.9245108124237</c:v>
                </c:pt>
                <c:pt idx="17">
                  <c:v>2486.5893637500926</c:v>
                </c:pt>
                <c:pt idx="18">
                  <c:v>2443.3725872501886</c:v>
                </c:pt>
                <c:pt idx="19">
                  <c:v>2399.2558213796742</c:v>
                </c:pt>
                <c:pt idx="20">
                  <c:v>2354.2203238599063</c:v>
                </c:pt>
                <c:pt idx="21">
                  <c:v>2308.2469621042892</c:v>
                </c:pt>
                <c:pt idx="22">
                  <c:v>2261.3162050901115</c:v>
                </c:pt>
                <c:pt idx="23">
                  <c:v>1898.4081150611132</c:v>
                </c:pt>
                <c:pt idx="24">
                  <c:v>1027.9424640572611</c:v>
                </c:pt>
                <c:pt idx="25">
                  <c:v>139.34936587125367</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numCache>
            </c:numRef>
          </c:val>
          <c:smooth val="0"/>
          <c:extLst>
            <c:ext xmlns:c16="http://schemas.microsoft.com/office/drawing/2014/chart" uri="{C3380CC4-5D6E-409C-BE32-E72D297353CC}">
              <c16:uniqueId val="{00000001-E7A6-374D-9859-4C128691ED39}"/>
            </c:ext>
          </c:extLst>
        </c:ser>
        <c:ser>
          <c:idx val="2"/>
          <c:order val="2"/>
          <c:tx>
            <c:v>Capital One Card</c:v>
          </c:tx>
          <c:spPr>
            <a:ln w="34925" cap="rnd">
              <a:solidFill>
                <a:schemeClr val="accent3"/>
              </a:solidFill>
              <a:round/>
            </a:ln>
            <a:effectLst>
              <a:outerShdw blurRad="57150" dist="19050" dir="5400000" algn="ctr" rotWithShape="0">
                <a:srgbClr val="000000">
                  <a:alpha val="63000"/>
                </a:srgbClr>
              </a:outerShdw>
            </a:effectLst>
          </c:spPr>
          <c:marker>
            <c:symbol val="none"/>
          </c:marker>
          <c:cat>
            <c:strRef>
              <c:f>'Debt Payoff'!$B$35:$B$75</c:f>
              <c:strCache>
                <c:ptCount val="41"/>
                <c:pt idx="0">
                  <c:v>September 2026</c:v>
                </c:pt>
                <c:pt idx="1">
                  <c:v>October 2026</c:v>
                </c:pt>
                <c:pt idx="2">
                  <c:v>November 2026</c:v>
                </c:pt>
                <c:pt idx="3">
                  <c:v>December 2026</c:v>
                </c:pt>
                <c:pt idx="4">
                  <c:v>January 2027</c:v>
                </c:pt>
                <c:pt idx="5">
                  <c:v>February 2027</c:v>
                </c:pt>
                <c:pt idx="6">
                  <c:v>March 2027</c:v>
                </c:pt>
                <c:pt idx="7">
                  <c:v>April 2027</c:v>
                </c:pt>
                <c:pt idx="8">
                  <c:v>May 2027</c:v>
                </c:pt>
                <c:pt idx="9">
                  <c:v>June 2027</c:v>
                </c:pt>
                <c:pt idx="10">
                  <c:v>July 2027</c:v>
                </c:pt>
                <c:pt idx="11">
                  <c:v>August 2027</c:v>
                </c:pt>
                <c:pt idx="12">
                  <c:v>September 2027</c:v>
                </c:pt>
                <c:pt idx="13">
                  <c:v>October 2027</c:v>
                </c:pt>
                <c:pt idx="14">
                  <c:v>November 2027</c:v>
                </c:pt>
                <c:pt idx="15">
                  <c:v>December 2027</c:v>
                </c:pt>
                <c:pt idx="16">
                  <c:v>January 2028</c:v>
                </c:pt>
                <c:pt idx="17">
                  <c:v>February 2028</c:v>
                </c:pt>
                <c:pt idx="18">
                  <c:v>March 2028</c:v>
                </c:pt>
                <c:pt idx="19">
                  <c:v>April 2028</c:v>
                </c:pt>
                <c:pt idx="20">
                  <c:v>May 2028</c:v>
                </c:pt>
                <c:pt idx="21">
                  <c:v>June 2028</c:v>
                </c:pt>
                <c:pt idx="22">
                  <c:v>July 2028</c:v>
                </c:pt>
                <c:pt idx="23">
                  <c:v>August 2028</c:v>
                </c:pt>
                <c:pt idx="24">
                  <c:v>September 2028</c:v>
                </c:pt>
                <c:pt idx="25">
                  <c:v>October 2028</c:v>
                </c:pt>
                <c:pt idx="26">
                  <c:v>November 2028</c:v>
                </c:pt>
                <c:pt idx="27">
                  <c:v>December 2028</c:v>
                </c:pt>
                <c:pt idx="28">
                  <c:v>January 2029</c:v>
                </c:pt>
                <c:pt idx="29">
                  <c:v>February 2029</c:v>
                </c:pt>
                <c:pt idx="30">
                  <c:v>March 2029</c:v>
                </c:pt>
                <c:pt idx="31">
                  <c:v>April 2029</c:v>
                </c:pt>
                <c:pt idx="32">
                  <c:v>May 2029</c:v>
                </c:pt>
                <c:pt idx="33">
                  <c:v>June 2029</c:v>
                </c:pt>
                <c:pt idx="34">
                  <c:v>July 2029</c:v>
                </c:pt>
                <c:pt idx="35">
                  <c:v>August 2029</c:v>
                </c:pt>
                <c:pt idx="36">
                  <c:v>September 2029</c:v>
                </c:pt>
                <c:pt idx="37">
                  <c:v>October 2029</c:v>
                </c:pt>
                <c:pt idx="38">
                  <c:v>November 2029</c:v>
                </c:pt>
                <c:pt idx="39">
                  <c:v>December 2029</c:v>
                </c:pt>
                <c:pt idx="40">
                  <c:v>January 2030</c:v>
                </c:pt>
              </c:strCache>
            </c:strRef>
          </c:cat>
          <c:val>
            <c:numRef>
              <c:f>'Debt Payoff'!$E$35:$E$75</c:f>
              <c:numCache>
                <c:formatCode>"$"#,##0.00</c:formatCode>
                <c:ptCount val="41"/>
                <c:pt idx="0">
                  <c:v>1850</c:v>
                </c:pt>
                <c:pt idx="1">
                  <c:v>1825.4429166666669</c:v>
                </c:pt>
                <c:pt idx="2">
                  <c:v>1800.4153605451393</c:v>
                </c:pt>
                <c:pt idx="3">
                  <c:v>1774.9083181609167</c:v>
                </c:pt>
                <c:pt idx="4">
                  <c:v>1748.9126033563496</c:v>
                </c:pt>
                <c:pt idx="5">
                  <c:v>1722.4188539823183</c:v>
                </c:pt>
                <c:pt idx="6">
                  <c:v>1695.4175285265296</c:v>
                </c:pt>
                <c:pt idx="7">
                  <c:v>1667.8989026772172</c:v>
                </c:pt>
                <c:pt idx="8">
                  <c:v>1639.8530658210084</c:v>
                </c:pt>
                <c:pt idx="9">
                  <c:v>1611.2699174736961</c:v>
                </c:pt>
                <c:pt idx="10">
                  <c:v>1582.1391636426297</c:v>
                </c:pt>
                <c:pt idx="11">
                  <c:v>1552.4503131194165</c:v>
                </c:pt>
                <c:pt idx="12">
                  <c:v>1522.192673701596</c:v>
                </c:pt>
                <c:pt idx="13">
                  <c:v>1491.3553483419291</c:v>
                </c:pt>
                <c:pt idx="14">
                  <c:v>1459.9272312239134</c:v>
                </c:pt>
                <c:pt idx="15">
                  <c:v>1427.8970037621116</c:v>
                </c:pt>
                <c:pt idx="16">
                  <c:v>1395.2531305258542</c:v>
                </c:pt>
                <c:pt idx="17">
                  <c:v>1361.9838550848453</c:v>
                </c:pt>
                <c:pt idx="18">
                  <c:v>1328.0771957751792</c:v>
                </c:pt>
                <c:pt idx="19">
                  <c:v>1293.5209413842388</c:v>
                </c:pt>
                <c:pt idx="20">
                  <c:v>1258.3026467529253</c:v>
                </c:pt>
                <c:pt idx="21">
                  <c:v>1222.4096282936334</c:v>
                </c:pt>
                <c:pt idx="22">
                  <c:v>1185.828959422359</c:v>
                </c:pt>
                <c:pt idx="23">
                  <c:v>1148.5474659032925</c:v>
                </c:pt>
                <c:pt idx="24">
                  <c:v>1110.5517211042231</c:v>
                </c:pt>
                <c:pt idx="25">
                  <c:v>1071.8280411610449</c:v>
                </c:pt>
                <c:pt idx="26">
                  <c:v>1032.362480049622</c:v>
                </c:pt>
                <c:pt idx="27">
                  <c:v>82.140824563239448</c:v>
                </c:pt>
                <c:pt idx="28">
                  <c:v>0</c:v>
                </c:pt>
                <c:pt idx="29">
                  <c:v>0</c:v>
                </c:pt>
                <c:pt idx="30">
                  <c:v>0</c:v>
                </c:pt>
                <c:pt idx="31">
                  <c:v>0</c:v>
                </c:pt>
                <c:pt idx="32">
                  <c:v>0</c:v>
                </c:pt>
                <c:pt idx="33">
                  <c:v>0</c:v>
                </c:pt>
                <c:pt idx="34">
                  <c:v>0</c:v>
                </c:pt>
                <c:pt idx="35">
                  <c:v>0</c:v>
                </c:pt>
                <c:pt idx="36">
                  <c:v>0</c:v>
                </c:pt>
                <c:pt idx="37">
                  <c:v>0</c:v>
                </c:pt>
                <c:pt idx="38">
                  <c:v>0</c:v>
                </c:pt>
                <c:pt idx="39">
                  <c:v>0</c:v>
                </c:pt>
                <c:pt idx="40">
                  <c:v>0</c:v>
                </c:pt>
              </c:numCache>
            </c:numRef>
          </c:val>
          <c:smooth val="0"/>
          <c:extLst>
            <c:ext xmlns:c16="http://schemas.microsoft.com/office/drawing/2014/chart" uri="{C3380CC4-5D6E-409C-BE32-E72D297353CC}">
              <c16:uniqueId val="{00000002-E7A6-374D-9859-4C128691ED39}"/>
            </c:ext>
          </c:extLst>
        </c:ser>
        <c:ser>
          <c:idx val="3"/>
          <c:order val="3"/>
          <c:tx>
            <c:v>Auto Loan</c:v>
          </c:tx>
          <c:spPr>
            <a:ln w="34925" cap="rnd">
              <a:solidFill>
                <a:schemeClr val="accent4"/>
              </a:solidFill>
              <a:round/>
            </a:ln>
            <a:effectLst>
              <a:outerShdw blurRad="57150" dist="19050" dir="5400000" algn="ctr" rotWithShape="0">
                <a:srgbClr val="000000">
                  <a:alpha val="63000"/>
                </a:srgbClr>
              </a:outerShdw>
            </a:effectLst>
          </c:spPr>
          <c:marker>
            <c:symbol val="none"/>
          </c:marker>
          <c:cat>
            <c:strRef>
              <c:f>'Debt Payoff'!$B$35:$B$75</c:f>
              <c:strCache>
                <c:ptCount val="41"/>
                <c:pt idx="0">
                  <c:v>September 2026</c:v>
                </c:pt>
                <c:pt idx="1">
                  <c:v>October 2026</c:v>
                </c:pt>
                <c:pt idx="2">
                  <c:v>November 2026</c:v>
                </c:pt>
                <c:pt idx="3">
                  <c:v>December 2026</c:v>
                </c:pt>
                <c:pt idx="4">
                  <c:v>January 2027</c:v>
                </c:pt>
                <c:pt idx="5">
                  <c:v>February 2027</c:v>
                </c:pt>
                <c:pt idx="6">
                  <c:v>March 2027</c:v>
                </c:pt>
                <c:pt idx="7">
                  <c:v>April 2027</c:v>
                </c:pt>
                <c:pt idx="8">
                  <c:v>May 2027</c:v>
                </c:pt>
                <c:pt idx="9">
                  <c:v>June 2027</c:v>
                </c:pt>
                <c:pt idx="10">
                  <c:v>July 2027</c:v>
                </c:pt>
                <c:pt idx="11">
                  <c:v>August 2027</c:v>
                </c:pt>
                <c:pt idx="12">
                  <c:v>September 2027</c:v>
                </c:pt>
                <c:pt idx="13">
                  <c:v>October 2027</c:v>
                </c:pt>
                <c:pt idx="14">
                  <c:v>November 2027</c:v>
                </c:pt>
                <c:pt idx="15">
                  <c:v>December 2027</c:v>
                </c:pt>
                <c:pt idx="16">
                  <c:v>January 2028</c:v>
                </c:pt>
                <c:pt idx="17">
                  <c:v>February 2028</c:v>
                </c:pt>
                <c:pt idx="18">
                  <c:v>March 2028</c:v>
                </c:pt>
                <c:pt idx="19">
                  <c:v>April 2028</c:v>
                </c:pt>
                <c:pt idx="20">
                  <c:v>May 2028</c:v>
                </c:pt>
                <c:pt idx="21">
                  <c:v>June 2028</c:v>
                </c:pt>
                <c:pt idx="22">
                  <c:v>July 2028</c:v>
                </c:pt>
                <c:pt idx="23">
                  <c:v>August 2028</c:v>
                </c:pt>
                <c:pt idx="24">
                  <c:v>September 2028</c:v>
                </c:pt>
                <c:pt idx="25">
                  <c:v>October 2028</c:v>
                </c:pt>
                <c:pt idx="26">
                  <c:v>November 2028</c:v>
                </c:pt>
                <c:pt idx="27">
                  <c:v>December 2028</c:v>
                </c:pt>
                <c:pt idx="28">
                  <c:v>January 2029</c:v>
                </c:pt>
                <c:pt idx="29">
                  <c:v>February 2029</c:v>
                </c:pt>
                <c:pt idx="30">
                  <c:v>March 2029</c:v>
                </c:pt>
                <c:pt idx="31">
                  <c:v>April 2029</c:v>
                </c:pt>
                <c:pt idx="32">
                  <c:v>May 2029</c:v>
                </c:pt>
                <c:pt idx="33">
                  <c:v>June 2029</c:v>
                </c:pt>
                <c:pt idx="34">
                  <c:v>July 2029</c:v>
                </c:pt>
                <c:pt idx="35">
                  <c:v>August 2029</c:v>
                </c:pt>
                <c:pt idx="36">
                  <c:v>September 2029</c:v>
                </c:pt>
                <c:pt idx="37">
                  <c:v>October 2029</c:v>
                </c:pt>
                <c:pt idx="38">
                  <c:v>November 2029</c:v>
                </c:pt>
                <c:pt idx="39">
                  <c:v>December 2029</c:v>
                </c:pt>
                <c:pt idx="40">
                  <c:v>January 2030</c:v>
                </c:pt>
              </c:strCache>
            </c:strRef>
          </c:cat>
          <c:val>
            <c:numRef>
              <c:f>'Debt Payoff'!$F$35:$F$75</c:f>
              <c:numCache>
                <c:formatCode>"$"#,##0.00</c:formatCode>
                <c:ptCount val="41"/>
                <c:pt idx="0">
                  <c:v>9800</c:v>
                </c:pt>
                <c:pt idx="1">
                  <c:v>9568.0016666666652</c:v>
                </c:pt>
                <c:pt idx="2">
                  <c:v>9334.7486090138864</c:v>
                </c:pt>
                <c:pt idx="3">
                  <c:v>9100.2340410743018</c:v>
                </c:pt>
                <c:pt idx="4">
                  <c:v>8864.4511401797772</c:v>
                </c:pt>
                <c:pt idx="5">
                  <c:v>8627.3930467629161</c:v>
                </c:pt>
                <c:pt idx="6">
                  <c:v>8389.0528641574911</c:v>
                </c:pt>
                <c:pt idx="7">
                  <c:v>8149.423658397809</c:v>
                </c:pt>
                <c:pt idx="8">
                  <c:v>7908.4984580169767</c:v>
                </c:pt>
                <c:pt idx="9">
                  <c:v>7666.2702538440844</c:v>
                </c:pt>
                <c:pt idx="10">
                  <c:v>7422.7319988002901</c:v>
                </c:pt>
                <c:pt idx="11">
                  <c:v>7177.8766076938009</c:v>
                </c:pt>
                <c:pt idx="12">
                  <c:v>6931.6969570137444</c:v>
                </c:pt>
                <c:pt idx="13">
                  <c:v>6684.1858847229259</c:v>
                </c:pt>
                <c:pt idx="14">
                  <c:v>6435.3361900494683</c:v>
                </c:pt>
                <c:pt idx="15">
                  <c:v>6185.1406332773186</c:v>
                </c:pt>
                <c:pt idx="16">
                  <c:v>5933.5919355356264</c:v>
                </c:pt>
                <c:pt idx="17">
                  <c:v>5680.6827785869809</c:v>
                </c:pt>
                <c:pt idx="18">
                  <c:v>5426.4058046145046</c:v>
                </c:pt>
                <c:pt idx="19">
                  <c:v>5170.7536160077943</c:v>
                </c:pt>
                <c:pt idx="20">
                  <c:v>4913.7187751477022</c:v>
                </c:pt>
                <c:pt idx="21">
                  <c:v>4655.2938041899588</c:v>
                </c:pt>
                <c:pt idx="22">
                  <c:v>4395.471184847619</c:v>
                </c:pt>
                <c:pt idx="23">
                  <c:v>4134.2433581723362</c:v>
                </c:pt>
                <c:pt idx="24">
                  <c:v>3871.6027243344515</c:v>
                </c:pt>
                <c:pt idx="25">
                  <c:v>3607.5416424018931</c:v>
                </c:pt>
                <c:pt idx="26">
                  <c:v>3342.052430117883</c:v>
                </c:pt>
                <c:pt idx="27">
                  <c:v>3075.1273636774367</c:v>
                </c:pt>
                <c:pt idx="28">
                  <c:v>2806.7586775026584</c:v>
                </c:pt>
                <c:pt idx="29">
                  <c:v>1566.9385640168184</c:v>
                </c:pt>
                <c:pt idx="30">
                  <c:v>475.41309008387589</c:v>
                </c:pt>
                <c:pt idx="31">
                  <c:v>0</c:v>
                </c:pt>
                <c:pt idx="32">
                  <c:v>0</c:v>
                </c:pt>
                <c:pt idx="33">
                  <c:v>0</c:v>
                </c:pt>
                <c:pt idx="34">
                  <c:v>0</c:v>
                </c:pt>
                <c:pt idx="35">
                  <c:v>0</c:v>
                </c:pt>
                <c:pt idx="36">
                  <c:v>0</c:v>
                </c:pt>
                <c:pt idx="37">
                  <c:v>0</c:v>
                </c:pt>
                <c:pt idx="38">
                  <c:v>0</c:v>
                </c:pt>
                <c:pt idx="39">
                  <c:v>0</c:v>
                </c:pt>
                <c:pt idx="40">
                  <c:v>0</c:v>
                </c:pt>
              </c:numCache>
            </c:numRef>
          </c:val>
          <c:smooth val="0"/>
          <c:extLst>
            <c:ext xmlns:c16="http://schemas.microsoft.com/office/drawing/2014/chart" uri="{C3380CC4-5D6E-409C-BE32-E72D297353CC}">
              <c16:uniqueId val="{00000003-E7A6-374D-9859-4C128691ED39}"/>
            </c:ext>
          </c:extLst>
        </c:ser>
        <c:ser>
          <c:idx val="4"/>
          <c:order val="4"/>
          <c:tx>
            <c:v>Student Loan</c:v>
          </c:tx>
          <c:spPr>
            <a:ln w="34925" cap="rnd">
              <a:solidFill>
                <a:schemeClr val="accent5"/>
              </a:solidFill>
              <a:round/>
            </a:ln>
            <a:effectLst>
              <a:outerShdw blurRad="57150" dist="19050" dir="5400000" algn="ctr" rotWithShape="0">
                <a:srgbClr val="000000">
                  <a:alpha val="63000"/>
                </a:srgbClr>
              </a:outerShdw>
            </a:effectLst>
          </c:spPr>
          <c:marker>
            <c:symbol val="none"/>
          </c:marker>
          <c:cat>
            <c:strRef>
              <c:f>'Debt Payoff'!$B$35:$B$75</c:f>
              <c:strCache>
                <c:ptCount val="41"/>
                <c:pt idx="0">
                  <c:v>September 2026</c:v>
                </c:pt>
                <c:pt idx="1">
                  <c:v>October 2026</c:v>
                </c:pt>
                <c:pt idx="2">
                  <c:v>November 2026</c:v>
                </c:pt>
                <c:pt idx="3">
                  <c:v>December 2026</c:v>
                </c:pt>
                <c:pt idx="4">
                  <c:v>January 2027</c:v>
                </c:pt>
                <c:pt idx="5">
                  <c:v>February 2027</c:v>
                </c:pt>
                <c:pt idx="6">
                  <c:v>March 2027</c:v>
                </c:pt>
                <c:pt idx="7">
                  <c:v>April 2027</c:v>
                </c:pt>
                <c:pt idx="8">
                  <c:v>May 2027</c:v>
                </c:pt>
                <c:pt idx="9">
                  <c:v>June 2027</c:v>
                </c:pt>
                <c:pt idx="10">
                  <c:v>July 2027</c:v>
                </c:pt>
                <c:pt idx="11">
                  <c:v>August 2027</c:v>
                </c:pt>
                <c:pt idx="12">
                  <c:v>September 2027</c:v>
                </c:pt>
                <c:pt idx="13">
                  <c:v>October 2027</c:v>
                </c:pt>
                <c:pt idx="14">
                  <c:v>November 2027</c:v>
                </c:pt>
                <c:pt idx="15">
                  <c:v>December 2027</c:v>
                </c:pt>
                <c:pt idx="16">
                  <c:v>January 2028</c:v>
                </c:pt>
                <c:pt idx="17">
                  <c:v>February 2028</c:v>
                </c:pt>
                <c:pt idx="18">
                  <c:v>March 2028</c:v>
                </c:pt>
                <c:pt idx="19">
                  <c:v>April 2028</c:v>
                </c:pt>
                <c:pt idx="20">
                  <c:v>May 2028</c:v>
                </c:pt>
                <c:pt idx="21">
                  <c:v>June 2028</c:v>
                </c:pt>
                <c:pt idx="22">
                  <c:v>July 2028</c:v>
                </c:pt>
                <c:pt idx="23">
                  <c:v>August 2028</c:v>
                </c:pt>
                <c:pt idx="24">
                  <c:v>September 2028</c:v>
                </c:pt>
                <c:pt idx="25">
                  <c:v>October 2028</c:v>
                </c:pt>
                <c:pt idx="26">
                  <c:v>November 2028</c:v>
                </c:pt>
                <c:pt idx="27">
                  <c:v>December 2028</c:v>
                </c:pt>
                <c:pt idx="28">
                  <c:v>January 2029</c:v>
                </c:pt>
                <c:pt idx="29">
                  <c:v>February 2029</c:v>
                </c:pt>
                <c:pt idx="30">
                  <c:v>March 2029</c:v>
                </c:pt>
                <c:pt idx="31">
                  <c:v>April 2029</c:v>
                </c:pt>
                <c:pt idx="32">
                  <c:v>May 2029</c:v>
                </c:pt>
                <c:pt idx="33">
                  <c:v>June 2029</c:v>
                </c:pt>
                <c:pt idx="34">
                  <c:v>July 2029</c:v>
                </c:pt>
                <c:pt idx="35">
                  <c:v>August 2029</c:v>
                </c:pt>
                <c:pt idx="36">
                  <c:v>September 2029</c:v>
                </c:pt>
                <c:pt idx="37">
                  <c:v>October 2029</c:v>
                </c:pt>
                <c:pt idx="38">
                  <c:v>November 2029</c:v>
                </c:pt>
                <c:pt idx="39">
                  <c:v>December 2029</c:v>
                </c:pt>
                <c:pt idx="40">
                  <c:v>January 2030</c:v>
                </c:pt>
              </c:strCache>
            </c:strRef>
          </c:cat>
          <c:val>
            <c:numRef>
              <c:f>'Debt Payoff'!$G$35:$G$75</c:f>
              <c:numCache>
                <c:formatCode>"$"#,##0.00</c:formatCode>
                <c:ptCount val="41"/>
                <c:pt idx="0">
                  <c:v>14500</c:v>
                </c:pt>
                <c:pt idx="1">
                  <c:v>14403.4375</c:v>
                </c:pt>
                <c:pt idx="2">
                  <c:v>14306.4525390625</c:v>
                </c:pt>
                <c:pt idx="3">
                  <c:v>14209.043268920899</c:v>
                </c:pt>
                <c:pt idx="4">
                  <c:v>14111.207833222428</c:v>
                </c:pt>
                <c:pt idx="5">
                  <c:v>14012.944367492777</c:v>
                </c:pt>
                <c:pt idx="6">
                  <c:v>13914.250999100559</c:v>
                </c:pt>
                <c:pt idx="7">
                  <c:v>13815.125847221625</c:v>
                </c:pt>
                <c:pt idx="8">
                  <c:v>13715.56702280322</c:v>
                </c:pt>
                <c:pt idx="9">
                  <c:v>13615.572628527983</c:v>
                </c:pt>
                <c:pt idx="10">
                  <c:v>13515.140758777794</c:v>
                </c:pt>
                <c:pt idx="11">
                  <c:v>13414.269499597447</c:v>
                </c:pt>
                <c:pt idx="12">
                  <c:v>13312.956928658186</c:v>
                </c:pt>
                <c:pt idx="13">
                  <c:v>13211.201115221065</c:v>
                </c:pt>
                <c:pt idx="14">
                  <c:v>13109.000120100158</c:v>
                </c:pt>
                <c:pt idx="15">
                  <c:v>13006.351995625597</c:v>
                </c:pt>
                <c:pt idx="16">
                  <c:v>12903.254785606459</c:v>
                </c:pt>
                <c:pt idx="17">
                  <c:v>12799.706525293488</c:v>
                </c:pt>
                <c:pt idx="18">
                  <c:v>12695.705241341648</c:v>
                </c:pt>
                <c:pt idx="19">
                  <c:v>12591.248951772517</c:v>
                </c:pt>
                <c:pt idx="20">
                  <c:v>12486.335665936522</c:v>
                </c:pt>
                <c:pt idx="21">
                  <c:v>12380.963384474995</c:v>
                </c:pt>
                <c:pt idx="22">
                  <c:v>12275.130099282074</c:v>
                </c:pt>
                <c:pt idx="23">
                  <c:v>12168.833793466434</c:v>
                </c:pt>
                <c:pt idx="24">
                  <c:v>12062.07244131285</c:v>
                </c:pt>
                <c:pt idx="25">
                  <c:v>11954.844008243594</c:v>
                </c:pt>
                <c:pt idx="26">
                  <c:v>11847.146450779659</c:v>
                </c:pt>
                <c:pt idx="27">
                  <c:v>11738.97771650182</c:v>
                </c:pt>
                <c:pt idx="28">
                  <c:v>11630.335744011516</c:v>
                </c:pt>
                <c:pt idx="29">
                  <c:v>11521.218462891567</c:v>
                </c:pt>
                <c:pt idx="30">
                  <c:v>11411.623793666718</c:v>
                </c:pt>
                <c:pt idx="31">
                  <c:v>11301.54964776401</c:v>
                </c:pt>
                <c:pt idx="32">
                  <c:v>9935.9939274729768</c:v>
                </c:pt>
                <c:pt idx="33">
                  <c:v>7964.4639009056718</c:v>
                </c:pt>
                <c:pt idx="34">
                  <c:v>6079.3084304721342</c:v>
                </c:pt>
                <c:pt idx="35">
                  <c:v>4245.9054048554499</c:v>
                </c:pt>
                <c:pt idx="36">
                  <c:v>2689.481241001693</c:v>
                </c:pt>
                <c:pt idx="37">
                  <c:v>1286.2477214310757</c:v>
                </c:pt>
                <c:pt idx="38">
                  <c:v>791.87505521233675</c:v>
                </c:pt>
                <c:pt idx="39">
                  <c:v>295.33950857889079</c:v>
                </c:pt>
                <c:pt idx="40">
                  <c:v>0</c:v>
                </c:pt>
              </c:numCache>
            </c:numRef>
          </c:val>
          <c:smooth val="0"/>
          <c:extLst>
            <c:ext xmlns:c16="http://schemas.microsoft.com/office/drawing/2014/chart" uri="{C3380CC4-5D6E-409C-BE32-E72D297353CC}">
              <c16:uniqueId val="{00000004-E7A6-374D-9859-4C128691ED39}"/>
            </c:ext>
          </c:extLst>
        </c:ser>
        <c:dLbls>
          <c:showLegendKey val="0"/>
          <c:showVal val="0"/>
          <c:showCatName val="0"/>
          <c:showSerName val="0"/>
          <c:showPercent val="0"/>
          <c:showBubbleSize val="0"/>
        </c:dLbls>
        <c:smooth val="0"/>
        <c:axId val="1005544191"/>
        <c:axId val="950717503"/>
      </c:lineChart>
      <c:catAx>
        <c:axId val="100554419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950717503"/>
        <c:crosses val="autoZero"/>
        <c:auto val="1"/>
        <c:lblAlgn val="ctr"/>
        <c:lblOffset val="100"/>
        <c:tickLblSkip val="6"/>
        <c:tickMarkSkip val="1"/>
        <c:noMultiLvlLbl val="0"/>
      </c:catAx>
      <c:valAx>
        <c:axId val="950717503"/>
        <c:scaling>
          <c:orientation val="minMax"/>
          <c:max val="15000"/>
          <c:min val="0"/>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005544191"/>
        <c:crosses val="autoZero"/>
        <c:crossBetween val="between"/>
        <c:majorUnit val="5000"/>
      </c:valAx>
      <c:spPr>
        <a:noFill/>
        <a:ln>
          <a:noFill/>
        </a:ln>
        <a:effectLst/>
      </c:spPr>
    </c:plotArea>
    <c:legend>
      <c:legendPos val="b"/>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42335</xdr:colOff>
      <xdr:row>8</xdr:row>
      <xdr:rowOff>42334</xdr:rowOff>
    </xdr:from>
    <xdr:to>
      <xdr:col>3</xdr:col>
      <xdr:colOff>2338917</xdr:colOff>
      <xdr:row>21</xdr:row>
      <xdr:rowOff>222250</xdr:rowOff>
    </xdr:to>
    <xdr:graphicFrame macro="">
      <xdr:nvGraphicFramePr>
        <xdr:cNvPr id="4" name="Chart 3">
          <a:extLst>
            <a:ext uri="{FF2B5EF4-FFF2-40B4-BE49-F238E27FC236}">
              <a16:creationId xmlns:a16="http://schemas.microsoft.com/office/drawing/2014/main" id="{50EA55A1-FB45-2A89-452C-0E2683E03B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52918</xdr:colOff>
      <xdr:row>8</xdr:row>
      <xdr:rowOff>82385</xdr:rowOff>
    </xdr:from>
    <xdr:to>
      <xdr:col>6</xdr:col>
      <xdr:colOff>2338918</xdr:colOff>
      <xdr:row>21</xdr:row>
      <xdr:rowOff>211667</xdr:rowOff>
    </xdr:to>
    <xdr:graphicFrame macro="">
      <xdr:nvGraphicFramePr>
        <xdr:cNvPr id="7" name="Chart 6">
          <a:extLst>
            <a:ext uri="{FF2B5EF4-FFF2-40B4-BE49-F238E27FC236}">
              <a16:creationId xmlns:a16="http://schemas.microsoft.com/office/drawing/2014/main" id="{239BCC0F-D8D8-07CB-81D4-D6EADFCD21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64D600-974F-EB48-83C7-795F365F029E}">
  <sheetPr>
    <tabColor rgb="FF44546A"/>
  </sheetPr>
  <dimension ref="A1:M47"/>
  <sheetViews>
    <sheetView showGridLines="0" showRowColHeaders="0" tabSelected="1" zoomScale="120" zoomScaleNormal="120" workbookViewId="0">
      <selection activeCell="E31" sqref="E31"/>
    </sheetView>
  </sheetViews>
  <sheetFormatPr baseColWidth="10" defaultRowHeight="20" customHeight="1" x14ac:dyDescent="0.2"/>
  <cols>
    <col min="1" max="1" width="5.83203125" customWidth="1"/>
    <col min="2" max="2" width="105.5" customWidth="1"/>
    <col min="3" max="3" width="11.1640625" customWidth="1"/>
    <col min="4" max="4" width="24.6640625" customWidth="1"/>
    <col min="5" max="5" width="42.5" customWidth="1"/>
  </cols>
  <sheetData>
    <row r="1" spans="1:13" ht="50" customHeight="1" x14ac:dyDescent="0.2">
      <c r="A1" s="1"/>
      <c r="B1" s="158" t="s">
        <v>247</v>
      </c>
      <c r="C1" s="158"/>
      <c r="D1" s="158"/>
      <c r="E1" s="158"/>
      <c r="F1" s="129"/>
      <c r="G1" s="129"/>
      <c r="H1" s="129"/>
      <c r="I1" s="129"/>
      <c r="J1" s="129"/>
      <c r="K1" s="129"/>
      <c r="L1" s="129"/>
      <c r="M1" s="129"/>
    </row>
    <row r="2" spans="1:13" s="130" customFormat="1" ht="30" customHeight="1" x14ac:dyDescent="0.2">
      <c r="B2" s="159" t="s">
        <v>248</v>
      </c>
      <c r="C2" s="159"/>
      <c r="D2" s="159"/>
      <c r="E2" s="159"/>
      <c r="F2" s="133"/>
      <c r="G2" s="133"/>
      <c r="H2" s="133"/>
      <c r="I2" s="133"/>
      <c r="J2" s="133"/>
      <c r="K2" s="133"/>
      <c r="L2" s="133"/>
      <c r="M2" s="133"/>
    </row>
    <row r="3" spans="1:13" s="131" customFormat="1" ht="30" customHeight="1" x14ac:dyDescent="0.2">
      <c r="B3" s="148" t="s">
        <v>249</v>
      </c>
      <c r="C3" s="148"/>
      <c r="D3" s="148"/>
      <c r="E3" s="148"/>
      <c r="F3" s="134"/>
      <c r="G3" s="134"/>
      <c r="H3" s="134"/>
      <c r="I3" s="134"/>
      <c r="J3" s="134"/>
      <c r="K3" s="134"/>
      <c r="L3" s="134"/>
      <c r="M3" s="134"/>
    </row>
    <row r="4" spans="1:13" ht="30" customHeight="1" x14ac:dyDescent="0.2">
      <c r="B4" s="148" t="s">
        <v>250</v>
      </c>
      <c r="C4" s="148"/>
      <c r="D4" s="148"/>
      <c r="E4" s="148"/>
      <c r="F4" s="134"/>
      <c r="G4" s="134"/>
      <c r="H4" s="134"/>
      <c r="I4" s="134"/>
      <c r="J4" s="134"/>
      <c r="K4" s="134"/>
      <c r="L4" s="134"/>
      <c r="M4" s="134"/>
    </row>
    <row r="5" spans="1:13" ht="20" customHeight="1" x14ac:dyDescent="0.2">
      <c r="B5" s="148"/>
      <c r="C5" s="148"/>
      <c r="D5" s="148"/>
      <c r="E5" s="148"/>
      <c r="F5" s="148"/>
      <c r="G5" s="148"/>
      <c r="H5" s="148"/>
      <c r="I5" s="148"/>
      <c r="J5" s="148"/>
      <c r="K5" s="148"/>
      <c r="L5" s="148"/>
      <c r="M5" s="148"/>
    </row>
    <row r="6" spans="1:13" ht="20" customHeight="1" x14ac:dyDescent="0.2">
      <c r="B6" s="146" t="s">
        <v>251</v>
      </c>
      <c r="C6" s="132"/>
      <c r="D6" s="150" t="s">
        <v>257</v>
      </c>
      <c r="E6" s="151"/>
      <c r="F6" s="132"/>
      <c r="G6" s="132"/>
      <c r="H6" s="132"/>
      <c r="I6" s="132"/>
      <c r="J6" s="132"/>
      <c r="K6" s="132"/>
      <c r="L6" s="132"/>
      <c r="M6" s="132"/>
    </row>
    <row r="7" spans="1:13" ht="20" customHeight="1" x14ac:dyDescent="0.2">
      <c r="B7" s="149"/>
      <c r="D7" s="152"/>
      <c r="E7" s="153"/>
    </row>
    <row r="8" spans="1:13" ht="20" customHeight="1" x14ac:dyDescent="0.2">
      <c r="B8" s="141" t="s">
        <v>269</v>
      </c>
      <c r="D8" s="137" t="str">
        <f>HYPERLINK("#'Introduction'!A1","Introduction")</f>
        <v>Introduction</v>
      </c>
      <c r="E8" s="139" t="s">
        <v>258</v>
      </c>
    </row>
    <row r="9" spans="1:13" ht="20" customHeight="1" x14ac:dyDescent="0.2">
      <c r="B9" s="142"/>
      <c r="D9" s="138"/>
      <c r="E9" s="144"/>
    </row>
    <row r="10" spans="1:13" ht="20" customHeight="1" x14ac:dyDescent="0.2">
      <c r="B10" s="142"/>
      <c r="D10" s="137" t="str">
        <f>HYPERLINK("#'Client Profile'!A1","Client Profile")</f>
        <v>Client Profile</v>
      </c>
      <c r="E10" s="139" t="s">
        <v>259</v>
      </c>
    </row>
    <row r="11" spans="1:13" ht="20" customHeight="1" x14ac:dyDescent="0.2">
      <c r="B11" s="143"/>
      <c r="D11" s="138"/>
      <c r="E11" s="144"/>
    </row>
    <row r="12" spans="1:13" ht="20" customHeight="1" x14ac:dyDescent="0.2">
      <c r="D12" s="137" t="str">
        <f>HYPERLINK("#'Key Assumptions'!A1","Key Asssumptions")</f>
        <v>Key Asssumptions</v>
      </c>
      <c r="E12" s="139" t="s">
        <v>260</v>
      </c>
    </row>
    <row r="13" spans="1:13" ht="20" customHeight="1" x14ac:dyDescent="0.2">
      <c r="B13" s="146" t="s">
        <v>252</v>
      </c>
      <c r="D13" s="138"/>
      <c r="E13" s="140"/>
    </row>
    <row r="14" spans="1:13" ht="20" customHeight="1" x14ac:dyDescent="0.2">
      <c r="B14" s="147"/>
      <c r="D14" s="137" t="str">
        <f>HYPERLINK("#'Financial Position'!A1","Financial Position")</f>
        <v>Financial Position</v>
      </c>
      <c r="E14" s="139" t="s">
        <v>264</v>
      </c>
    </row>
    <row r="15" spans="1:13" ht="20" customHeight="1" x14ac:dyDescent="0.2">
      <c r="B15" s="136" t="s">
        <v>261</v>
      </c>
      <c r="D15" s="138"/>
      <c r="E15" s="140"/>
    </row>
    <row r="16" spans="1:13" ht="20" customHeight="1" x14ac:dyDescent="0.2">
      <c r="B16" s="135" t="s">
        <v>262</v>
      </c>
      <c r="D16" s="157" t="str">
        <f>HYPERLINK("#'Cash-Flow &amp; Budget'!A1","Cash-Flow &amp; Budget")</f>
        <v>Cash-Flow &amp; Budget</v>
      </c>
      <c r="E16" s="145" t="s">
        <v>265</v>
      </c>
    </row>
    <row r="17" spans="2:5" ht="20" customHeight="1" x14ac:dyDescent="0.2">
      <c r="B17" s="136" t="s">
        <v>276</v>
      </c>
      <c r="D17" s="138"/>
      <c r="E17" s="140"/>
    </row>
    <row r="18" spans="2:5" ht="20" customHeight="1" x14ac:dyDescent="0.2">
      <c r="B18" s="154" t="s">
        <v>272</v>
      </c>
      <c r="D18" s="137" t="str">
        <f>HYPERLINK("#'Emergency Fund'!A1","Emergency Fund")</f>
        <v>Emergency Fund</v>
      </c>
      <c r="E18" s="139" t="s">
        <v>271</v>
      </c>
    </row>
    <row r="19" spans="2:5" ht="20" customHeight="1" x14ac:dyDescent="0.2">
      <c r="B19" s="155"/>
      <c r="D19" s="138"/>
      <c r="E19" s="140"/>
    </row>
    <row r="20" spans="2:5" ht="20" customHeight="1" x14ac:dyDescent="0.2">
      <c r="B20" s="136" t="s">
        <v>273</v>
      </c>
      <c r="D20" s="137" t="str">
        <f>HYPERLINK("#'Debt Payoff'!A1","Debt Payoff")</f>
        <v>Debt Payoff</v>
      </c>
      <c r="E20" s="139" t="s">
        <v>267</v>
      </c>
    </row>
    <row r="21" spans="2:5" ht="20" customHeight="1" x14ac:dyDescent="0.2">
      <c r="B21" s="156" t="s">
        <v>263</v>
      </c>
      <c r="D21" s="138"/>
      <c r="E21" s="140"/>
    </row>
    <row r="22" spans="2:5" ht="20" customHeight="1" x14ac:dyDescent="0.2">
      <c r="B22" s="155"/>
      <c r="D22" s="137" t="str">
        <f>HYPERLINK("#'Planning Dashboard'!A1","Planning Dashboard")</f>
        <v>Planning Dashboard</v>
      </c>
      <c r="E22" s="139" t="s">
        <v>266</v>
      </c>
    </row>
    <row r="23" spans="2:5" ht="20" customHeight="1" x14ac:dyDescent="0.2">
      <c r="D23" s="138"/>
      <c r="E23" s="140"/>
    </row>
    <row r="24" spans="2:5" ht="20" customHeight="1" x14ac:dyDescent="0.2">
      <c r="B24" s="146" t="s">
        <v>253</v>
      </c>
    </row>
    <row r="25" spans="2:5" ht="20" customHeight="1" x14ac:dyDescent="0.2">
      <c r="B25" s="147"/>
    </row>
    <row r="26" spans="2:5" ht="20" customHeight="1" x14ac:dyDescent="0.2">
      <c r="B26" s="142" t="s">
        <v>270</v>
      </c>
    </row>
    <row r="27" spans="2:5" ht="20" customHeight="1" x14ac:dyDescent="0.2">
      <c r="B27" s="142"/>
    </row>
    <row r="28" spans="2:5" ht="20" customHeight="1" x14ac:dyDescent="0.2">
      <c r="B28" s="142"/>
    </row>
    <row r="29" spans="2:5" ht="20" customHeight="1" x14ac:dyDescent="0.2">
      <c r="B29" s="142"/>
    </row>
    <row r="30" spans="2:5" ht="20" customHeight="1" x14ac:dyDescent="0.2">
      <c r="B30" s="143"/>
    </row>
    <row r="47" spans="1:1" ht="20" customHeight="1" x14ac:dyDescent="0.2">
      <c r="A47" s="2"/>
    </row>
  </sheetData>
  <mergeCells count="29">
    <mergeCell ref="B1:E1"/>
    <mergeCell ref="B2:E2"/>
    <mergeCell ref="B3:E3"/>
    <mergeCell ref="B4:E4"/>
    <mergeCell ref="B5:M5"/>
    <mergeCell ref="B6:B7"/>
    <mergeCell ref="D6:E7"/>
    <mergeCell ref="B24:B25"/>
    <mergeCell ref="B18:B19"/>
    <mergeCell ref="B21:B22"/>
    <mergeCell ref="D8:D9"/>
    <mergeCell ref="D12:D13"/>
    <mergeCell ref="D14:D15"/>
    <mergeCell ref="D16:D17"/>
    <mergeCell ref="D18:D19"/>
    <mergeCell ref="D22:D23"/>
    <mergeCell ref="E22:E23"/>
    <mergeCell ref="B8:B11"/>
    <mergeCell ref="B26:B30"/>
    <mergeCell ref="D20:D21"/>
    <mergeCell ref="E8:E9"/>
    <mergeCell ref="E20:E21"/>
    <mergeCell ref="E18:E19"/>
    <mergeCell ref="E16:E17"/>
    <mergeCell ref="E14:E15"/>
    <mergeCell ref="E12:E13"/>
    <mergeCell ref="E10:E11"/>
    <mergeCell ref="D10:D11"/>
    <mergeCell ref="B13:B1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D0EF0-A663-724E-B25F-7FFEFF77774E}">
  <sheetPr>
    <tabColor rgb="FF5B9BD5"/>
  </sheetPr>
  <dimension ref="A1:L60"/>
  <sheetViews>
    <sheetView showGridLines="0" showRowColHeaders="0" zoomScale="120" zoomScaleNormal="120" workbookViewId="0">
      <selection activeCell="E14" sqref="E14"/>
    </sheetView>
  </sheetViews>
  <sheetFormatPr baseColWidth="10" defaultRowHeight="16" x14ac:dyDescent="0.2"/>
  <cols>
    <col min="1" max="1" width="5.83203125" customWidth="1"/>
    <col min="2" max="2" width="35.83203125" customWidth="1"/>
    <col min="3" max="3" width="57.33203125" bestFit="1" customWidth="1"/>
    <col min="4" max="9" width="17.6640625" customWidth="1"/>
  </cols>
  <sheetData>
    <row r="1" spans="1:12" ht="50" customHeight="1" x14ac:dyDescent="0.55000000000000004">
      <c r="A1" s="1"/>
      <c r="B1" s="162" t="s">
        <v>0</v>
      </c>
      <c r="C1" s="162"/>
      <c r="D1" s="3"/>
      <c r="E1" s="3"/>
      <c r="F1" s="3"/>
      <c r="G1" s="3"/>
      <c r="H1" s="3"/>
      <c r="I1" s="3"/>
      <c r="J1" s="3"/>
    </row>
    <row r="2" spans="1:12" s="7" customFormat="1" ht="20" customHeight="1" x14ac:dyDescent="0.2">
      <c r="B2" s="16" t="s">
        <v>77</v>
      </c>
      <c r="C2" s="17" t="s">
        <v>114</v>
      </c>
      <c r="D2" s="8"/>
      <c r="E2" s="8"/>
      <c r="F2" s="9"/>
      <c r="G2" s="9"/>
      <c r="H2" s="9"/>
      <c r="I2" s="9"/>
      <c r="J2" s="9"/>
      <c r="K2" s="9"/>
      <c r="L2" s="9"/>
    </row>
    <row r="3" spans="1:12" ht="5" customHeight="1" x14ac:dyDescent="0.2"/>
    <row r="4" spans="1:12" ht="40" customHeight="1" x14ac:dyDescent="0.2">
      <c r="B4" s="160" t="s">
        <v>4</v>
      </c>
      <c r="C4" s="161"/>
    </row>
    <row r="5" spans="1:12" ht="20" customHeight="1" x14ac:dyDescent="0.2">
      <c r="B5" s="18" t="s">
        <v>2</v>
      </c>
      <c r="C5" s="19" t="s">
        <v>77</v>
      </c>
    </row>
    <row r="6" spans="1:12" ht="20" customHeight="1" x14ac:dyDescent="0.2">
      <c r="B6" s="18" t="s">
        <v>3</v>
      </c>
      <c r="C6" s="19">
        <v>32</v>
      </c>
    </row>
    <row r="7" spans="1:12" ht="20" customHeight="1" x14ac:dyDescent="0.2">
      <c r="B7" s="18" t="s">
        <v>5</v>
      </c>
      <c r="C7" s="19" t="s">
        <v>50</v>
      </c>
    </row>
    <row r="8" spans="1:12" ht="20" customHeight="1" x14ac:dyDescent="0.2">
      <c r="B8" s="18" t="s">
        <v>12</v>
      </c>
      <c r="C8" s="19" t="s">
        <v>51</v>
      </c>
    </row>
    <row r="9" spans="1:12" ht="20" customHeight="1" x14ac:dyDescent="0.2">
      <c r="B9" s="18" t="s">
        <v>13</v>
      </c>
      <c r="C9" s="51">
        <v>80000</v>
      </c>
    </row>
    <row r="10" spans="1:12" ht="20" customHeight="1" x14ac:dyDescent="0.2">
      <c r="B10" s="18" t="s">
        <v>49</v>
      </c>
      <c r="C10" s="19" t="s">
        <v>52</v>
      </c>
    </row>
    <row r="11" spans="1:12" ht="20" customHeight="1" x14ac:dyDescent="0.2">
      <c r="B11" s="18" t="s">
        <v>7</v>
      </c>
      <c r="C11" s="19" t="s">
        <v>52</v>
      </c>
    </row>
    <row r="12" spans="1:12" ht="20" customHeight="1" x14ac:dyDescent="0.2">
      <c r="B12" s="18" t="s">
        <v>11</v>
      </c>
      <c r="C12" s="19" t="s">
        <v>53</v>
      </c>
    </row>
    <row r="13" spans="1:12" ht="20" customHeight="1" x14ac:dyDescent="0.2">
      <c r="B13" s="18" t="s">
        <v>234</v>
      </c>
      <c r="C13" s="19" t="s">
        <v>53</v>
      </c>
    </row>
    <row r="14" spans="1:12" ht="20" customHeight="1" x14ac:dyDescent="0.2"/>
    <row r="15" spans="1:12" ht="40" customHeight="1" x14ac:dyDescent="0.2">
      <c r="B15" s="160" t="s">
        <v>45</v>
      </c>
      <c r="C15" s="161"/>
    </row>
    <row r="16" spans="1:12" ht="20" customHeight="1" x14ac:dyDescent="0.25">
      <c r="B16" s="18" t="s">
        <v>46</v>
      </c>
      <c r="C16" s="20" t="s">
        <v>140</v>
      </c>
    </row>
    <row r="17" spans="2:3" ht="20" customHeight="1" x14ac:dyDescent="0.25">
      <c r="B17" s="18" t="s">
        <v>47</v>
      </c>
      <c r="C17" s="20" t="s">
        <v>235</v>
      </c>
    </row>
    <row r="18" spans="2:3" ht="20" customHeight="1" x14ac:dyDescent="0.25">
      <c r="B18" s="18" t="s">
        <v>48</v>
      </c>
      <c r="C18" s="20" t="s">
        <v>62</v>
      </c>
    </row>
    <row r="19" spans="2:3" ht="20" customHeight="1" x14ac:dyDescent="0.2"/>
    <row r="20" spans="2:3" ht="40" customHeight="1" x14ac:dyDescent="0.2">
      <c r="B20" s="160" t="s">
        <v>54</v>
      </c>
      <c r="C20" s="161"/>
    </row>
    <row r="21" spans="2:3" ht="20" customHeight="1" x14ac:dyDescent="0.25">
      <c r="B21" s="21" t="s">
        <v>56</v>
      </c>
      <c r="C21" s="20" t="s">
        <v>58</v>
      </c>
    </row>
    <row r="22" spans="2:3" ht="20" customHeight="1" x14ac:dyDescent="0.25">
      <c r="B22" s="21" t="s">
        <v>57</v>
      </c>
      <c r="C22" s="20" t="s">
        <v>63</v>
      </c>
    </row>
    <row r="23" spans="2:3" ht="20" customHeight="1" x14ac:dyDescent="0.25">
      <c r="B23" s="21" t="s">
        <v>55</v>
      </c>
      <c r="C23" s="20" t="s">
        <v>59</v>
      </c>
    </row>
    <row r="24" spans="2:3" ht="20" customHeight="1" x14ac:dyDescent="0.25">
      <c r="B24" s="21" t="s">
        <v>64</v>
      </c>
      <c r="C24" s="20" t="s">
        <v>61</v>
      </c>
    </row>
    <row r="25" spans="2:3" ht="20" customHeight="1" x14ac:dyDescent="0.25">
      <c r="B25" s="21" t="s">
        <v>60</v>
      </c>
      <c r="C25" s="20" t="s">
        <v>65</v>
      </c>
    </row>
    <row r="26" spans="2:3" ht="20" customHeight="1" x14ac:dyDescent="0.2"/>
    <row r="27" spans="2:3" ht="40" customHeight="1" x14ac:dyDescent="0.2">
      <c r="B27" s="160" t="s">
        <v>14</v>
      </c>
      <c r="C27" s="161"/>
    </row>
    <row r="28" spans="2:3" ht="20" customHeight="1" x14ac:dyDescent="0.25">
      <c r="B28" s="18" t="s">
        <v>6</v>
      </c>
      <c r="C28" s="20" t="s">
        <v>72</v>
      </c>
    </row>
    <row r="29" spans="2:3" ht="20" customHeight="1" x14ac:dyDescent="0.25">
      <c r="B29" s="18" t="s">
        <v>15</v>
      </c>
      <c r="C29" s="20" t="s">
        <v>73</v>
      </c>
    </row>
    <row r="30" spans="2:3" ht="20" customHeight="1" x14ac:dyDescent="0.25">
      <c r="B30" s="18" t="s">
        <v>66</v>
      </c>
      <c r="C30" s="20" t="s">
        <v>74</v>
      </c>
    </row>
    <row r="31" spans="2:3" ht="20" customHeight="1" x14ac:dyDescent="0.25">
      <c r="B31" s="18" t="s">
        <v>16</v>
      </c>
      <c r="C31" s="20" t="s">
        <v>75</v>
      </c>
    </row>
    <row r="32" spans="2:3" ht="20" customHeight="1" x14ac:dyDescent="0.25">
      <c r="B32" s="18" t="s">
        <v>254</v>
      </c>
      <c r="C32" s="20" t="s">
        <v>76</v>
      </c>
    </row>
    <row r="33" spans="1:10" ht="20" customHeight="1" x14ac:dyDescent="0.25">
      <c r="B33" s="18" t="s">
        <v>255</v>
      </c>
      <c r="C33" s="20" t="s">
        <v>256</v>
      </c>
    </row>
    <row r="34" spans="1:10" ht="20" customHeight="1" x14ac:dyDescent="0.2"/>
    <row r="35" spans="1:10" ht="40" customHeight="1" x14ac:dyDescent="0.2">
      <c r="B35" s="160" t="s">
        <v>10</v>
      </c>
      <c r="C35" s="161"/>
    </row>
    <row r="36" spans="1:10" ht="20" customHeight="1" x14ac:dyDescent="0.2">
      <c r="B36" s="163" t="s">
        <v>67</v>
      </c>
      <c r="C36" s="164"/>
    </row>
    <row r="37" spans="1:10" ht="20" customHeight="1" x14ac:dyDescent="0.2">
      <c r="B37" s="163" t="s">
        <v>68</v>
      </c>
      <c r="C37" s="164"/>
    </row>
    <row r="38" spans="1:10" ht="20" customHeight="1" x14ac:dyDescent="0.2">
      <c r="B38" s="163" t="s">
        <v>70</v>
      </c>
      <c r="C38" s="164"/>
    </row>
    <row r="39" spans="1:10" ht="20" customHeight="1" x14ac:dyDescent="0.2">
      <c r="B39" s="163" t="s">
        <v>69</v>
      </c>
      <c r="C39" s="164"/>
    </row>
    <row r="40" spans="1:10" ht="20" customHeight="1" x14ac:dyDescent="0.2">
      <c r="A40" s="2"/>
      <c r="B40" s="165" t="s">
        <v>71</v>
      </c>
      <c r="C40" s="166"/>
      <c r="D40" s="2"/>
      <c r="E40" s="2"/>
      <c r="F40" s="2"/>
      <c r="G40" s="2"/>
      <c r="H40" s="2"/>
      <c r="I40" s="2"/>
      <c r="J40" s="2"/>
    </row>
    <row r="41" spans="1:10" ht="20" customHeight="1" x14ac:dyDescent="0.2"/>
    <row r="42" spans="1:10" ht="20" customHeight="1" x14ac:dyDescent="0.2"/>
    <row r="43" spans="1:10" ht="20" customHeight="1" x14ac:dyDescent="0.2"/>
    <row r="44" spans="1:10" ht="20" customHeight="1" x14ac:dyDescent="0.2"/>
    <row r="45" spans="1:10" ht="20" customHeight="1" x14ac:dyDescent="0.2"/>
    <row r="46" spans="1:10" ht="20" customHeight="1" x14ac:dyDescent="0.2"/>
    <row r="47" spans="1:10" ht="20" customHeight="1" x14ac:dyDescent="0.2"/>
    <row r="48" spans="1:10" ht="20" customHeight="1" x14ac:dyDescent="0.2"/>
    <row r="49" ht="20" customHeight="1" x14ac:dyDescent="0.2"/>
    <row r="50" ht="20" customHeight="1" x14ac:dyDescent="0.2"/>
    <row r="51" ht="20" customHeight="1" x14ac:dyDescent="0.2"/>
    <row r="52" ht="20" customHeight="1" x14ac:dyDescent="0.2"/>
    <row r="53" ht="20" customHeight="1" x14ac:dyDescent="0.2"/>
    <row r="54" ht="20" customHeight="1" x14ac:dyDescent="0.2"/>
    <row r="55" ht="20" customHeight="1" x14ac:dyDescent="0.2"/>
    <row r="56" ht="20" customHeight="1" x14ac:dyDescent="0.2"/>
    <row r="57" ht="20" customHeight="1" x14ac:dyDescent="0.2"/>
    <row r="58" ht="20" customHeight="1" x14ac:dyDescent="0.2"/>
    <row r="59" ht="20" customHeight="1" x14ac:dyDescent="0.2"/>
    <row r="60" ht="20" customHeight="1" x14ac:dyDescent="0.2"/>
  </sheetData>
  <mergeCells count="11">
    <mergeCell ref="B36:C36"/>
    <mergeCell ref="B37:C37"/>
    <mergeCell ref="B40:C40"/>
    <mergeCell ref="B39:C39"/>
    <mergeCell ref="B38:C38"/>
    <mergeCell ref="B35:C35"/>
    <mergeCell ref="B4:C4"/>
    <mergeCell ref="B1:C1"/>
    <mergeCell ref="B15:C15"/>
    <mergeCell ref="B27:C27"/>
    <mergeCell ref="B20:C20"/>
  </mergeCells>
  <phoneticPr fontId="15" type="noConversion"/>
  <pageMargins left="0.7" right="0.7" top="0.75" bottom="0.75" header="0.3" footer="0.3"/>
  <pageSetup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FFD2AA-B670-ED46-81A6-85AF56D958A1}">
  <sheetPr>
    <tabColor rgb="FF006666"/>
  </sheetPr>
  <dimension ref="A1:L56"/>
  <sheetViews>
    <sheetView showGridLines="0" showRowColHeaders="0" topLeftCell="A18" zoomScale="120" zoomScaleNormal="120" workbookViewId="0">
      <selection activeCell="F9" sqref="F9"/>
    </sheetView>
  </sheetViews>
  <sheetFormatPr baseColWidth="10" defaultRowHeight="16" x14ac:dyDescent="0.2"/>
  <cols>
    <col min="1" max="1" width="5.83203125" customWidth="1"/>
    <col min="2" max="2" width="45.83203125" customWidth="1"/>
    <col min="3" max="3" width="58.6640625" customWidth="1"/>
  </cols>
  <sheetData>
    <row r="1" spans="1:12" ht="50" customHeight="1" x14ac:dyDescent="0.55000000000000004">
      <c r="A1" s="1"/>
      <c r="B1" s="167" t="s">
        <v>78</v>
      </c>
      <c r="C1" s="167"/>
      <c r="D1" s="3"/>
      <c r="E1" s="3"/>
      <c r="F1" s="3"/>
      <c r="G1" s="3"/>
      <c r="H1" s="3"/>
      <c r="I1" s="3"/>
      <c r="J1" s="3"/>
    </row>
    <row r="2" spans="1:12" s="7" customFormat="1" ht="20" customHeight="1" x14ac:dyDescent="0.2">
      <c r="B2" s="63" t="str">
        <f>'Client Profile'!B2</f>
        <v>Christopher Miller</v>
      </c>
      <c r="C2" s="68" t="str">
        <f>'Client Profile'!C2</f>
        <v>September 2026</v>
      </c>
      <c r="D2" s="8"/>
      <c r="E2" s="8"/>
      <c r="F2" s="9"/>
      <c r="G2" s="9"/>
      <c r="H2" s="9"/>
      <c r="I2" s="9"/>
      <c r="J2" s="9"/>
      <c r="K2" s="9"/>
      <c r="L2" s="9"/>
    </row>
    <row r="3" spans="1:12" ht="5" customHeight="1" x14ac:dyDescent="0.2">
      <c r="D3" s="4"/>
      <c r="E3" s="4"/>
      <c r="F3" s="4"/>
      <c r="G3" s="4"/>
      <c r="H3" s="4"/>
      <c r="I3" s="4"/>
      <c r="J3" s="4"/>
    </row>
    <row r="4" spans="1:12" ht="40" customHeight="1" x14ac:dyDescent="0.2">
      <c r="B4" s="168" t="s">
        <v>18</v>
      </c>
      <c r="C4" s="169"/>
    </row>
    <row r="5" spans="1:12" ht="20" customHeight="1" x14ac:dyDescent="0.2">
      <c r="B5" s="70" t="s">
        <v>19</v>
      </c>
      <c r="C5" s="71">
        <f>'Client Profile'!C6</f>
        <v>32</v>
      </c>
    </row>
    <row r="6" spans="1:12" ht="20" customHeight="1" x14ac:dyDescent="0.2">
      <c r="B6" s="70" t="s">
        <v>79</v>
      </c>
      <c r="C6" s="71">
        <v>2026</v>
      </c>
    </row>
    <row r="7" spans="1:12" ht="20" customHeight="1" x14ac:dyDescent="0.2">
      <c r="B7" s="70" t="s">
        <v>21</v>
      </c>
      <c r="C7" s="71">
        <v>33</v>
      </c>
    </row>
    <row r="8" spans="1:12" ht="20" customHeight="1" x14ac:dyDescent="0.2">
      <c r="B8" s="70" t="s">
        <v>20</v>
      </c>
      <c r="C8" s="71">
        <v>65</v>
      </c>
    </row>
    <row r="9" spans="1:12" ht="20" customHeight="1" x14ac:dyDescent="0.2">
      <c r="B9" s="70" t="s">
        <v>80</v>
      </c>
      <c r="C9" s="71">
        <v>90</v>
      </c>
    </row>
    <row r="10" spans="1:12" ht="20" customHeight="1" x14ac:dyDescent="0.2"/>
    <row r="11" spans="1:12" ht="40" customHeight="1" x14ac:dyDescent="0.2">
      <c r="B11" s="168" t="s">
        <v>25</v>
      </c>
      <c r="C11" s="169"/>
    </row>
    <row r="12" spans="1:12" ht="20" customHeight="1" x14ac:dyDescent="0.2">
      <c r="B12" s="66" t="s">
        <v>13</v>
      </c>
      <c r="C12" s="64">
        <f>'Client Profile'!C9</f>
        <v>80000</v>
      </c>
    </row>
    <row r="13" spans="1:12" ht="20" customHeight="1" x14ac:dyDescent="0.2">
      <c r="B13" s="66" t="s">
        <v>81</v>
      </c>
      <c r="C13" s="64">
        <f>C12/12</f>
        <v>6666.666666666667</v>
      </c>
    </row>
    <row r="14" spans="1:12" ht="20" customHeight="1" x14ac:dyDescent="0.2">
      <c r="B14" s="66" t="s">
        <v>82</v>
      </c>
      <c r="C14" s="72">
        <v>0.2</v>
      </c>
    </row>
    <row r="15" spans="1:12" ht="20" customHeight="1" x14ac:dyDescent="0.2">
      <c r="B15" s="66" t="s">
        <v>83</v>
      </c>
      <c r="C15" s="64">
        <f>C12*(1-C14)</f>
        <v>64000</v>
      </c>
    </row>
    <row r="16" spans="1:12" ht="20" customHeight="1" x14ac:dyDescent="0.2">
      <c r="B16" s="66" t="s">
        <v>115</v>
      </c>
      <c r="C16" s="64">
        <f>C15/12</f>
        <v>5333.333333333333</v>
      </c>
    </row>
    <row r="17" spans="2:3" ht="20" customHeight="1" x14ac:dyDescent="0.2">
      <c r="B17" s="66" t="s">
        <v>22</v>
      </c>
      <c r="C17" s="72">
        <v>0.05</v>
      </c>
    </row>
    <row r="18" spans="2:3" ht="20" customHeight="1" x14ac:dyDescent="0.2">
      <c r="B18" s="66" t="s">
        <v>118</v>
      </c>
      <c r="C18" s="64">
        <v>0</v>
      </c>
    </row>
    <row r="19" spans="2:3" ht="20" customHeight="1" x14ac:dyDescent="0.2"/>
    <row r="20" spans="2:3" ht="40" customHeight="1" x14ac:dyDescent="0.2">
      <c r="B20" s="168" t="s">
        <v>26</v>
      </c>
      <c r="C20" s="169"/>
    </row>
    <row r="21" spans="2:3" ht="20" customHeight="1" x14ac:dyDescent="0.2">
      <c r="B21" s="66" t="s">
        <v>243</v>
      </c>
      <c r="C21" s="64">
        <v>1700</v>
      </c>
    </row>
    <row r="22" spans="2:3" ht="20" customHeight="1" x14ac:dyDescent="0.2">
      <c r="B22" s="66" t="s">
        <v>84</v>
      </c>
      <c r="C22" s="64">
        <v>500</v>
      </c>
    </row>
    <row r="23" spans="2:3" ht="20" customHeight="1" x14ac:dyDescent="0.2">
      <c r="B23" s="66" t="s">
        <v>23</v>
      </c>
      <c r="C23" s="64">
        <v>450</v>
      </c>
    </row>
    <row r="24" spans="2:3" ht="20" customHeight="1" x14ac:dyDescent="0.2">
      <c r="B24" s="66" t="s">
        <v>121</v>
      </c>
      <c r="C24" s="64">
        <v>300</v>
      </c>
    </row>
    <row r="25" spans="2:3" ht="20" customHeight="1" x14ac:dyDescent="0.2">
      <c r="B25" s="66" t="s">
        <v>122</v>
      </c>
      <c r="C25" s="64">
        <v>250</v>
      </c>
    </row>
    <row r="26" spans="2:3" ht="20" customHeight="1" x14ac:dyDescent="0.2">
      <c r="B26" s="66" t="s">
        <v>123</v>
      </c>
      <c r="C26" s="64">
        <v>150</v>
      </c>
    </row>
    <row r="27" spans="2:3" ht="20" customHeight="1" x14ac:dyDescent="0.2">
      <c r="B27" s="66" t="s">
        <v>85</v>
      </c>
      <c r="C27" s="64">
        <v>250</v>
      </c>
    </row>
    <row r="28" spans="2:3" ht="20" customHeight="1" x14ac:dyDescent="0.2">
      <c r="B28" s="66" t="s">
        <v>134</v>
      </c>
      <c r="C28" s="64">
        <v>765</v>
      </c>
    </row>
    <row r="29" spans="2:3" ht="20" customHeight="1" x14ac:dyDescent="0.2">
      <c r="B29" s="66" t="s">
        <v>132</v>
      </c>
      <c r="C29" s="64">
        <v>250</v>
      </c>
    </row>
    <row r="30" spans="2:3" ht="25" customHeight="1" x14ac:dyDescent="0.2">
      <c r="B30" s="69" t="s">
        <v>124</v>
      </c>
      <c r="C30" s="128">
        <f>SUM(C21:C29)</f>
        <v>4615</v>
      </c>
    </row>
    <row r="31" spans="2:3" ht="20" customHeight="1" x14ac:dyDescent="0.2"/>
    <row r="32" spans="2:3" ht="40" customHeight="1" x14ac:dyDescent="0.2">
      <c r="B32" s="168" t="s">
        <v>24</v>
      </c>
      <c r="C32" s="169"/>
    </row>
    <row r="33" spans="1:6" ht="20" customHeight="1" x14ac:dyDescent="0.2">
      <c r="B33" s="66" t="s">
        <v>236</v>
      </c>
      <c r="C33" s="67">
        <v>3</v>
      </c>
    </row>
    <row r="34" spans="1:6" ht="20" customHeight="1" x14ac:dyDescent="0.2">
      <c r="B34" s="66" t="s">
        <v>237</v>
      </c>
      <c r="C34" s="64">
        <f>MROUND(C33*C30,500)</f>
        <v>14000</v>
      </c>
    </row>
    <row r="35" spans="1:6" ht="20" customHeight="1" x14ac:dyDescent="0.2">
      <c r="B35" s="66" t="s">
        <v>86</v>
      </c>
      <c r="C35" s="64">
        <v>500</v>
      </c>
    </row>
    <row r="36" spans="1:6" ht="20" customHeight="1" x14ac:dyDescent="0.2">
      <c r="B36" s="66" t="s">
        <v>133</v>
      </c>
      <c r="C36" s="72">
        <v>0.08</v>
      </c>
      <c r="F36" s="11"/>
    </row>
    <row r="37" spans="1:6" ht="20" customHeight="1" x14ac:dyDescent="0.2">
      <c r="B37" s="66" t="s">
        <v>87</v>
      </c>
      <c r="C37" s="64">
        <v>0</v>
      </c>
    </row>
    <row r="38" spans="1:6" ht="20" customHeight="1" x14ac:dyDescent="0.2">
      <c r="B38" s="66" t="s">
        <v>139</v>
      </c>
      <c r="C38" s="64">
        <v>150</v>
      </c>
    </row>
    <row r="39" spans="1:6" ht="20" customHeight="1" x14ac:dyDescent="0.2">
      <c r="B39" s="66" t="s">
        <v>88</v>
      </c>
      <c r="C39" s="67">
        <v>0</v>
      </c>
    </row>
    <row r="40" spans="1:6" ht="20" customHeight="1" x14ac:dyDescent="0.2">
      <c r="A40" s="2"/>
    </row>
    <row r="41" spans="1:6" ht="40" customHeight="1" x14ac:dyDescent="0.2">
      <c r="B41" s="168" t="s">
        <v>9</v>
      </c>
      <c r="C41" s="169"/>
    </row>
    <row r="42" spans="1:6" ht="20" customHeight="1" x14ac:dyDescent="0.2">
      <c r="B42" s="73" t="s">
        <v>93</v>
      </c>
      <c r="C42" s="67" t="s">
        <v>94</v>
      </c>
    </row>
    <row r="43" spans="1:6" ht="57" customHeight="1" x14ac:dyDescent="0.2">
      <c r="B43" s="73" t="s">
        <v>95</v>
      </c>
      <c r="C43" s="74" t="s">
        <v>274</v>
      </c>
    </row>
    <row r="44" spans="1:6" ht="20" customHeight="1" x14ac:dyDescent="0.2">
      <c r="A44" s="2"/>
    </row>
    <row r="45" spans="1:6" ht="40" customHeight="1" x14ac:dyDescent="0.2">
      <c r="B45" s="168" t="s">
        <v>91</v>
      </c>
      <c r="C45" s="169"/>
    </row>
    <row r="46" spans="1:6" ht="20" customHeight="1" x14ac:dyDescent="0.2">
      <c r="B46" s="73" t="s">
        <v>89</v>
      </c>
      <c r="C46" s="65">
        <v>0.03</v>
      </c>
    </row>
    <row r="47" spans="1:6" ht="20" customHeight="1" x14ac:dyDescent="0.2">
      <c r="B47" s="73" t="s">
        <v>238</v>
      </c>
      <c r="C47" s="65">
        <v>3.5000000000000003E-2</v>
      </c>
    </row>
    <row r="48" spans="1:6" ht="20" customHeight="1" x14ac:dyDescent="0.2">
      <c r="B48" s="73" t="s">
        <v>111</v>
      </c>
      <c r="C48" s="65">
        <v>0.06</v>
      </c>
    </row>
    <row r="49" spans="2:3" ht="20" customHeight="1" x14ac:dyDescent="0.2">
      <c r="B49" s="73" t="s">
        <v>90</v>
      </c>
      <c r="C49" s="65">
        <v>0.05</v>
      </c>
    </row>
    <row r="50" spans="2:3" ht="79" customHeight="1" x14ac:dyDescent="0.2">
      <c r="B50" s="73" t="s">
        <v>92</v>
      </c>
      <c r="C50" s="74" t="s">
        <v>239</v>
      </c>
    </row>
    <row r="51" spans="2:3" ht="20" customHeight="1" x14ac:dyDescent="0.2"/>
    <row r="52" spans="2:3" ht="20" customHeight="1" x14ac:dyDescent="0.2"/>
    <row r="53" spans="2:3" ht="20" customHeight="1" x14ac:dyDescent="0.2"/>
    <row r="54" spans="2:3" ht="20" customHeight="1" x14ac:dyDescent="0.2"/>
    <row r="55" spans="2:3" ht="20" customHeight="1" x14ac:dyDescent="0.2"/>
    <row r="56" spans="2:3" ht="20" customHeight="1" x14ac:dyDescent="0.2"/>
  </sheetData>
  <mergeCells count="7">
    <mergeCell ref="B1:C1"/>
    <mergeCell ref="B45:C45"/>
    <mergeCell ref="B41:C41"/>
    <mergeCell ref="B4:C4"/>
    <mergeCell ref="B11:C11"/>
    <mergeCell ref="B20:C20"/>
    <mergeCell ref="B32:C3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6EE0C-ABAD-454B-A7A2-ADE867BC07EF}">
  <sheetPr>
    <tabColor rgb="FF407742"/>
  </sheetPr>
  <dimension ref="A1:L49"/>
  <sheetViews>
    <sheetView showGridLines="0" showRowColHeaders="0" topLeftCell="A16" zoomScale="120" zoomScaleNormal="120" workbookViewId="0">
      <selection activeCell="E7" sqref="E7"/>
    </sheetView>
  </sheetViews>
  <sheetFormatPr baseColWidth="10" defaultRowHeight="16" x14ac:dyDescent="0.2"/>
  <cols>
    <col min="1" max="1" width="5.83203125" customWidth="1"/>
    <col min="2" max="2" width="35.83203125" customWidth="1"/>
    <col min="3" max="6" width="25.83203125" customWidth="1"/>
  </cols>
  <sheetData>
    <row r="1" spans="1:12" ht="50" customHeight="1" x14ac:dyDescent="0.2">
      <c r="A1" s="1"/>
      <c r="B1" s="170" t="s">
        <v>233</v>
      </c>
      <c r="C1" s="171"/>
      <c r="D1" s="171"/>
      <c r="E1" s="3"/>
      <c r="F1" s="3"/>
      <c r="G1" s="3"/>
      <c r="H1" s="3"/>
    </row>
    <row r="2" spans="1:12" ht="20" customHeight="1" x14ac:dyDescent="0.2">
      <c r="B2" s="39" t="str">
        <f>'Client Profile'!B2</f>
        <v>Christopher Miller</v>
      </c>
      <c r="C2" s="40" t="str">
        <f>'Client Profile'!C2</f>
        <v>September 2026</v>
      </c>
      <c r="D2" s="38"/>
      <c r="E2" s="6"/>
      <c r="F2" s="3"/>
      <c r="G2" s="3"/>
      <c r="H2" s="3"/>
      <c r="I2" s="3"/>
      <c r="J2" s="3"/>
      <c r="K2" s="3"/>
      <c r="L2" s="3"/>
    </row>
    <row r="3" spans="1:12" ht="5" customHeight="1" x14ac:dyDescent="0.2">
      <c r="F3" s="4"/>
      <c r="G3" s="4"/>
      <c r="H3" s="4"/>
      <c r="I3" s="4"/>
      <c r="J3" s="4"/>
      <c r="K3" s="4"/>
      <c r="L3" s="4"/>
    </row>
    <row r="4" spans="1:12" ht="30" customHeight="1" x14ac:dyDescent="0.2">
      <c r="B4" s="172" t="s">
        <v>27</v>
      </c>
      <c r="C4" s="173"/>
      <c r="D4" s="174"/>
    </row>
    <row r="5" spans="1:12" ht="25" customHeight="1" x14ac:dyDescent="0.3">
      <c r="B5" s="35" t="s">
        <v>37</v>
      </c>
      <c r="C5" s="36" t="s">
        <v>2</v>
      </c>
      <c r="D5" s="37" t="s">
        <v>42</v>
      </c>
    </row>
    <row r="6" spans="1:12" ht="20" customHeight="1" x14ac:dyDescent="0.25">
      <c r="B6" s="22" t="s">
        <v>96</v>
      </c>
      <c r="C6" s="23" t="s">
        <v>28</v>
      </c>
      <c r="D6" s="45">
        <v>1250</v>
      </c>
    </row>
    <row r="7" spans="1:12" ht="20" customHeight="1" x14ac:dyDescent="0.25">
      <c r="B7" s="22" t="s">
        <v>96</v>
      </c>
      <c r="C7" s="23" t="s">
        <v>29</v>
      </c>
      <c r="D7" s="45">
        <v>800</v>
      </c>
    </row>
    <row r="8" spans="1:12" ht="20" customHeight="1" x14ac:dyDescent="0.25">
      <c r="B8" s="22" t="s">
        <v>96</v>
      </c>
      <c r="C8" s="23" t="s">
        <v>219</v>
      </c>
      <c r="D8" s="45">
        <v>2000</v>
      </c>
    </row>
    <row r="9" spans="1:12" ht="20" customHeight="1" x14ac:dyDescent="0.25">
      <c r="B9" s="22" t="s">
        <v>8</v>
      </c>
      <c r="C9" s="23" t="s">
        <v>98</v>
      </c>
      <c r="D9" s="45">
        <v>12500</v>
      </c>
    </row>
    <row r="10" spans="1:12" ht="20" customHeight="1" x14ac:dyDescent="0.25">
      <c r="B10" s="22" t="s">
        <v>8</v>
      </c>
      <c r="C10" s="23" t="s">
        <v>99</v>
      </c>
      <c r="D10" s="45">
        <v>2500</v>
      </c>
    </row>
    <row r="11" spans="1:12" ht="20" customHeight="1" x14ac:dyDescent="0.25">
      <c r="B11" s="22" t="s">
        <v>97</v>
      </c>
      <c r="C11" s="23" t="s">
        <v>100</v>
      </c>
      <c r="D11" s="45">
        <v>0</v>
      </c>
    </row>
    <row r="12" spans="1:12" ht="20" customHeight="1" x14ac:dyDescent="0.25">
      <c r="B12" s="22" t="s">
        <v>240</v>
      </c>
      <c r="C12" s="23" t="s">
        <v>101</v>
      </c>
      <c r="D12" s="45">
        <v>11000</v>
      </c>
    </row>
    <row r="13" spans="1:12" ht="20" customHeight="1" x14ac:dyDescent="0.25">
      <c r="B13" s="22" t="s">
        <v>240</v>
      </c>
      <c r="C13" s="23" t="s">
        <v>102</v>
      </c>
      <c r="D13" s="45">
        <v>0</v>
      </c>
    </row>
    <row r="14" spans="1:12" ht="25" customHeight="1" x14ac:dyDescent="0.3">
      <c r="B14" s="33" t="s">
        <v>31</v>
      </c>
      <c r="C14" s="34"/>
      <c r="D14" s="48">
        <f>SUM(D6:D13)</f>
        <v>30050</v>
      </c>
    </row>
    <row r="15" spans="1:12" ht="20" customHeight="1" x14ac:dyDescent="0.2"/>
    <row r="16" spans="1:12" ht="30" customHeight="1" x14ac:dyDescent="0.2">
      <c r="B16" s="172" t="s">
        <v>30</v>
      </c>
      <c r="C16" s="173"/>
      <c r="D16" s="173"/>
      <c r="E16" s="173"/>
      <c r="F16" s="174"/>
    </row>
    <row r="17" spans="2:6" ht="25" customHeight="1" x14ac:dyDescent="0.3">
      <c r="B17" s="35" t="s">
        <v>37</v>
      </c>
      <c r="C17" s="36" t="s">
        <v>41</v>
      </c>
      <c r="D17" s="36" t="s">
        <v>42</v>
      </c>
      <c r="E17" s="36" t="s">
        <v>44</v>
      </c>
      <c r="F17" s="37" t="s">
        <v>43</v>
      </c>
    </row>
    <row r="18" spans="2:6" ht="20" customHeight="1" x14ac:dyDescent="0.2">
      <c r="B18" s="22" t="s">
        <v>103</v>
      </c>
      <c r="C18" s="24" t="s">
        <v>135</v>
      </c>
      <c r="D18" s="44">
        <v>5400</v>
      </c>
      <c r="E18" s="25">
        <v>0.27239999999999998</v>
      </c>
      <c r="F18" s="45">
        <v>165</v>
      </c>
    </row>
    <row r="19" spans="2:6" ht="20" customHeight="1" x14ac:dyDescent="0.2">
      <c r="B19" s="22" t="s">
        <v>103</v>
      </c>
      <c r="C19" s="24" t="s">
        <v>136</v>
      </c>
      <c r="D19" s="44">
        <v>3100</v>
      </c>
      <c r="E19" s="25">
        <v>0.24990000000000001</v>
      </c>
      <c r="F19" s="45">
        <v>95</v>
      </c>
    </row>
    <row r="20" spans="2:6" ht="20" customHeight="1" x14ac:dyDescent="0.2">
      <c r="B20" s="22" t="s">
        <v>103</v>
      </c>
      <c r="C20" s="24" t="s">
        <v>137</v>
      </c>
      <c r="D20" s="44">
        <v>1850</v>
      </c>
      <c r="E20" s="25">
        <v>0.22989999999999999</v>
      </c>
      <c r="F20" s="45">
        <v>60</v>
      </c>
    </row>
    <row r="21" spans="2:6" ht="20" customHeight="1" x14ac:dyDescent="0.2">
      <c r="B21" s="22" t="s">
        <v>104</v>
      </c>
      <c r="C21" s="24" t="s">
        <v>141</v>
      </c>
      <c r="D21" s="44">
        <v>14500</v>
      </c>
      <c r="E21" s="25">
        <v>5.2499999999999998E-2</v>
      </c>
      <c r="F21" s="45">
        <v>160</v>
      </c>
    </row>
    <row r="22" spans="2:6" ht="20" customHeight="1" x14ac:dyDescent="0.2">
      <c r="B22" s="22" t="s">
        <v>105</v>
      </c>
      <c r="C22" s="24" t="s">
        <v>138</v>
      </c>
      <c r="D22" s="44">
        <v>9800</v>
      </c>
      <c r="E22" s="25">
        <v>6.4899999999999999E-2</v>
      </c>
      <c r="F22" s="45">
        <v>285</v>
      </c>
    </row>
    <row r="23" spans="2:6" ht="25" customHeight="1" x14ac:dyDescent="0.2">
      <c r="B23" s="41" t="s">
        <v>32</v>
      </c>
      <c r="C23" s="42"/>
      <c r="D23" s="49">
        <f>SUM(D18:D22)</f>
        <v>34650</v>
      </c>
      <c r="E23" s="43"/>
      <c r="F23" s="50">
        <f>SUM(F18:F22)</f>
        <v>765</v>
      </c>
    </row>
    <row r="24" spans="2:6" ht="20" customHeight="1" x14ac:dyDescent="0.2"/>
    <row r="25" spans="2:6" ht="40" customHeight="1" x14ac:dyDescent="0.2">
      <c r="B25" s="175" t="s">
        <v>241</v>
      </c>
      <c r="C25" s="176"/>
    </row>
    <row r="26" spans="2:6" ht="20" customHeight="1" x14ac:dyDescent="0.2">
      <c r="B26" s="22" t="s">
        <v>31</v>
      </c>
      <c r="C26" s="45">
        <f>D14</f>
        <v>30050</v>
      </c>
    </row>
    <row r="27" spans="2:6" ht="20" customHeight="1" x14ac:dyDescent="0.2">
      <c r="B27" s="22" t="s">
        <v>32</v>
      </c>
      <c r="C27" s="45">
        <f>D23</f>
        <v>34650</v>
      </c>
    </row>
    <row r="28" spans="2:6" ht="20" customHeight="1" x14ac:dyDescent="0.2">
      <c r="B28" s="22" t="s">
        <v>213</v>
      </c>
      <c r="C28" s="45">
        <f>C26-C27</f>
        <v>-4600</v>
      </c>
    </row>
    <row r="29" spans="2:6" ht="20" customHeight="1" x14ac:dyDescent="0.2">
      <c r="B29" s="22" t="s">
        <v>106</v>
      </c>
      <c r="C29" s="45">
        <f>SUM(D6:D8)</f>
        <v>4050</v>
      </c>
    </row>
    <row r="30" spans="2:6" ht="20" customHeight="1" x14ac:dyDescent="0.2">
      <c r="B30" s="22" t="s">
        <v>107</v>
      </c>
      <c r="C30" s="45" cm="1">
        <f t="array" ref="C30">SUM(IF(E18:E22&gt;0.099,D18:D22,0))</f>
        <v>10350</v>
      </c>
    </row>
    <row r="31" spans="2:6" ht="20" customHeight="1" x14ac:dyDescent="0.2"/>
    <row r="32" spans="2:6" ht="40" customHeight="1" x14ac:dyDescent="0.2">
      <c r="B32" s="175" t="s">
        <v>33</v>
      </c>
      <c r="C32" s="176"/>
    </row>
    <row r="33" spans="2:3" ht="20" customHeight="1" x14ac:dyDescent="0.2">
      <c r="B33" s="22" t="s">
        <v>242</v>
      </c>
      <c r="C33" s="26">
        <f>D8/('Key Assumptions'!C30)</f>
        <v>0.4333694474539545</v>
      </c>
    </row>
    <row r="34" spans="2:3" ht="20" customHeight="1" x14ac:dyDescent="0.2">
      <c r="B34" s="22" t="s">
        <v>34</v>
      </c>
      <c r="C34" s="27">
        <f>'Cash-Flow &amp; Budget'!C29/'Cash-Flow &amp; Budget'!C8</f>
        <v>0.12187500000000001</v>
      </c>
    </row>
    <row r="35" spans="2:3" ht="20" customHeight="1" x14ac:dyDescent="0.2">
      <c r="B35" s="22" t="s">
        <v>109</v>
      </c>
      <c r="C35" s="27">
        <f>D23/'Key Assumptions'!C12</f>
        <v>0.43312499999999998</v>
      </c>
    </row>
    <row r="36" spans="2:3" ht="20" customHeight="1" x14ac:dyDescent="0.2">
      <c r="B36" s="22" t="s">
        <v>110</v>
      </c>
      <c r="C36" s="27">
        <f>D23/D14</f>
        <v>1.1530782029950084</v>
      </c>
    </row>
    <row r="37" spans="2:3" ht="20" customHeight="1" x14ac:dyDescent="0.2">
      <c r="B37" s="22" t="s">
        <v>108</v>
      </c>
      <c r="C37" s="27">
        <f>C30/D23</f>
        <v>0.29870129870129869</v>
      </c>
    </row>
    <row r="38" spans="2:3" ht="20" customHeight="1" x14ac:dyDescent="0.2"/>
    <row r="39" spans="2:3" ht="20" customHeight="1" x14ac:dyDescent="0.2"/>
    <row r="40" spans="2:3" ht="20" customHeight="1" x14ac:dyDescent="0.2"/>
    <row r="41" spans="2:3" ht="20" customHeight="1" x14ac:dyDescent="0.2"/>
    <row r="42" spans="2:3" ht="20" customHeight="1" x14ac:dyDescent="0.2"/>
    <row r="43" spans="2:3" ht="20" customHeight="1" x14ac:dyDescent="0.2"/>
    <row r="44" spans="2:3" ht="20" customHeight="1" x14ac:dyDescent="0.2"/>
    <row r="45" spans="2:3" ht="20" customHeight="1" x14ac:dyDescent="0.2"/>
    <row r="46" spans="2:3" ht="20" customHeight="1" x14ac:dyDescent="0.2"/>
    <row r="47" spans="2:3" ht="20" customHeight="1" x14ac:dyDescent="0.2"/>
    <row r="48" spans="2:3" ht="20" customHeight="1" x14ac:dyDescent="0.2"/>
    <row r="49" ht="20" customHeight="1" x14ac:dyDescent="0.2"/>
  </sheetData>
  <mergeCells count="5">
    <mergeCell ref="B1:D1"/>
    <mergeCell ref="B4:D4"/>
    <mergeCell ref="B16:F16"/>
    <mergeCell ref="B32:C32"/>
    <mergeCell ref="B25:C25"/>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AD903-8E8B-0E43-AADF-CE15274BF3C0}">
  <sheetPr>
    <tabColor theme="6" tint="-0.249977111117893"/>
  </sheetPr>
  <dimension ref="B1:L195"/>
  <sheetViews>
    <sheetView showGridLines="0" showRowColHeaders="0" topLeftCell="A13" zoomScale="120" zoomScaleNormal="120" workbookViewId="0">
      <selection activeCell="G12" sqref="G12"/>
    </sheetView>
  </sheetViews>
  <sheetFormatPr baseColWidth="10" defaultRowHeight="16" x14ac:dyDescent="0.2"/>
  <cols>
    <col min="1" max="1" width="5.83203125" customWidth="1"/>
    <col min="2" max="2" width="30.83203125" customWidth="1"/>
    <col min="3" max="5" width="25.83203125" customWidth="1"/>
  </cols>
  <sheetData>
    <row r="1" spans="2:12" ht="47" x14ac:dyDescent="0.2">
      <c r="B1" s="179" t="s">
        <v>17</v>
      </c>
      <c r="C1" s="180"/>
      <c r="D1" s="180"/>
      <c r="E1" s="180"/>
      <c r="F1" s="3"/>
      <c r="G1" s="3"/>
      <c r="H1" s="3"/>
      <c r="I1" s="3"/>
      <c r="J1" s="3"/>
      <c r="K1" s="3"/>
      <c r="L1" s="3"/>
    </row>
    <row r="2" spans="2:12" ht="20" customHeight="1" x14ac:dyDescent="0.2">
      <c r="B2" s="31" t="str">
        <f>'Client Profile'!B2</f>
        <v>Christopher Miller</v>
      </c>
      <c r="C2" s="32" t="str">
        <f>'Client Profile'!C2</f>
        <v>September 2026</v>
      </c>
      <c r="D2" s="30"/>
      <c r="E2" s="30"/>
      <c r="F2" s="3"/>
      <c r="G2" s="3"/>
      <c r="H2" s="3"/>
      <c r="I2" s="3"/>
      <c r="J2" s="3"/>
      <c r="K2" s="3"/>
      <c r="L2" s="3"/>
    </row>
    <row r="3" spans="2:12" ht="5" customHeight="1" x14ac:dyDescent="0.2">
      <c r="F3" s="4"/>
      <c r="G3" s="4"/>
      <c r="H3" s="4"/>
      <c r="I3" s="4"/>
      <c r="J3" s="4"/>
      <c r="K3" s="4"/>
      <c r="L3" s="4"/>
    </row>
    <row r="4" spans="2:12" ht="30" customHeight="1" x14ac:dyDescent="0.2">
      <c r="B4" s="177" t="s">
        <v>35</v>
      </c>
      <c r="C4" s="181"/>
      <c r="D4" s="181"/>
      <c r="E4" s="178"/>
    </row>
    <row r="5" spans="2:12" ht="25" customHeight="1" x14ac:dyDescent="0.3">
      <c r="B5" s="12" t="s">
        <v>37</v>
      </c>
      <c r="C5" s="13" t="s">
        <v>112</v>
      </c>
      <c r="D5" s="13" t="s">
        <v>113</v>
      </c>
      <c r="E5" s="14" t="s">
        <v>36</v>
      </c>
    </row>
    <row r="6" spans="2:12" ht="20" customHeight="1" x14ac:dyDescent="0.2">
      <c r="B6" s="22" t="s">
        <v>119</v>
      </c>
      <c r="C6" s="44">
        <f>'Key Assumptions'!C16</f>
        <v>5333.333333333333</v>
      </c>
      <c r="D6" s="44">
        <v>5333.33</v>
      </c>
      <c r="E6" s="45">
        <f>C6-D6</f>
        <v>3.333333333102928E-3</v>
      </c>
    </row>
    <row r="7" spans="2:12" ht="20" customHeight="1" x14ac:dyDescent="0.2">
      <c r="B7" s="22" t="s">
        <v>120</v>
      </c>
      <c r="C7" s="44">
        <f>'Key Assumptions'!C18</f>
        <v>0</v>
      </c>
      <c r="D7" s="44">
        <v>75</v>
      </c>
      <c r="E7" s="45">
        <f>C7-D7</f>
        <v>-75</v>
      </c>
    </row>
    <row r="8" spans="2:12" ht="25" customHeight="1" x14ac:dyDescent="0.2">
      <c r="B8" s="29" t="s">
        <v>116</v>
      </c>
      <c r="C8" s="46">
        <f>SUM(C6:C7)</f>
        <v>5333.333333333333</v>
      </c>
      <c r="D8" s="46">
        <f>SUM(D6:D7)</f>
        <v>5408.33</v>
      </c>
      <c r="E8" s="47">
        <f>C8-D8</f>
        <v>-74.996666666666897</v>
      </c>
    </row>
    <row r="9" spans="2:12" ht="20" customHeight="1" x14ac:dyDescent="0.2">
      <c r="B9" s="10" t="s">
        <v>117</v>
      </c>
    </row>
    <row r="10" spans="2:12" ht="30" customHeight="1" x14ac:dyDescent="0.2">
      <c r="B10" s="177" t="s">
        <v>26</v>
      </c>
      <c r="C10" s="181"/>
      <c r="D10" s="181"/>
      <c r="E10" s="178"/>
    </row>
    <row r="11" spans="2:12" ht="25" customHeight="1" x14ac:dyDescent="0.3">
      <c r="B11" s="12" t="s">
        <v>37</v>
      </c>
      <c r="C11" s="13" t="s">
        <v>112</v>
      </c>
      <c r="D11" s="13" t="s">
        <v>113</v>
      </c>
      <c r="E11" s="14" t="s">
        <v>36</v>
      </c>
    </row>
    <row r="12" spans="2:12" ht="20" customHeight="1" x14ac:dyDescent="0.25">
      <c r="B12" s="28" t="str">
        <f>'Key Assumptions'!B21</f>
        <v>Housing &amp; Utilities</v>
      </c>
      <c r="C12" s="44">
        <f>'Key Assumptions'!C21</f>
        <v>1700</v>
      </c>
      <c r="D12" s="44">
        <v>1700</v>
      </c>
      <c r="E12" s="45">
        <f>C12-D12</f>
        <v>0</v>
      </c>
    </row>
    <row r="13" spans="2:12" ht="20" customHeight="1" x14ac:dyDescent="0.25">
      <c r="B13" s="28" t="str">
        <f>'Key Assumptions'!B22</f>
        <v>Groceries</v>
      </c>
      <c r="C13" s="44">
        <f>'Key Assumptions'!C22</f>
        <v>500</v>
      </c>
      <c r="D13" s="44">
        <v>525</v>
      </c>
      <c r="E13" s="45">
        <f t="shared" ref="E13:E20" si="0">C13-D13</f>
        <v>-25</v>
      </c>
    </row>
    <row r="14" spans="2:12" ht="20" customHeight="1" x14ac:dyDescent="0.25">
      <c r="B14" s="28" t="str">
        <f>'Key Assumptions'!B23</f>
        <v>Transportation</v>
      </c>
      <c r="C14" s="44">
        <f>'Key Assumptions'!C23</f>
        <v>450</v>
      </c>
      <c r="D14" s="44">
        <v>460</v>
      </c>
      <c r="E14" s="45">
        <f t="shared" si="0"/>
        <v>-10</v>
      </c>
    </row>
    <row r="15" spans="2:12" ht="20" customHeight="1" x14ac:dyDescent="0.25">
      <c r="B15" s="28" t="str">
        <f>'Key Assumptions'!B24</f>
        <v>Health &amp; Insurance</v>
      </c>
      <c r="C15" s="44">
        <f>'Key Assumptions'!C24</f>
        <v>300</v>
      </c>
      <c r="D15" s="44">
        <v>295</v>
      </c>
      <c r="E15" s="45">
        <f t="shared" si="0"/>
        <v>5</v>
      </c>
    </row>
    <row r="16" spans="2:12" ht="20" customHeight="1" x14ac:dyDescent="0.25">
      <c r="B16" s="28" t="str">
        <f>'Key Assumptions'!B25</f>
        <v>Personal &amp; Household</v>
      </c>
      <c r="C16" s="44">
        <f>'Key Assumptions'!C25</f>
        <v>250</v>
      </c>
      <c r="D16" s="44">
        <v>265</v>
      </c>
      <c r="E16" s="45">
        <f t="shared" si="0"/>
        <v>-15</v>
      </c>
    </row>
    <row r="17" spans="2:5" ht="20" customHeight="1" x14ac:dyDescent="0.25">
      <c r="B17" s="28" t="str">
        <f>'Key Assumptions'!B26</f>
        <v>Technology &amp; Subscriptions</v>
      </c>
      <c r="C17" s="44">
        <f>'Key Assumptions'!C26</f>
        <v>150</v>
      </c>
      <c r="D17" s="44">
        <v>150</v>
      </c>
      <c r="E17" s="45">
        <f t="shared" si="0"/>
        <v>0</v>
      </c>
    </row>
    <row r="18" spans="2:5" ht="20" customHeight="1" x14ac:dyDescent="0.25">
      <c r="B18" s="28" t="str">
        <f>'Key Assumptions'!B27</f>
        <v>Dining &amp; Entertainment</v>
      </c>
      <c r="C18" s="44">
        <f>'Key Assumptions'!C27</f>
        <v>250</v>
      </c>
      <c r="D18" s="44">
        <v>305</v>
      </c>
      <c r="E18" s="45">
        <f t="shared" si="0"/>
        <v>-55</v>
      </c>
    </row>
    <row r="19" spans="2:5" ht="20" customHeight="1" x14ac:dyDescent="0.25">
      <c r="B19" s="28" t="str">
        <f>'Key Assumptions'!B28</f>
        <v>Minimum Debt Obligations</v>
      </c>
      <c r="C19" s="44">
        <f>'Key Assumptions'!C28</f>
        <v>765</v>
      </c>
      <c r="D19" s="44">
        <v>765</v>
      </c>
      <c r="E19" s="45">
        <f t="shared" si="0"/>
        <v>0</v>
      </c>
    </row>
    <row r="20" spans="2:5" ht="20" customHeight="1" x14ac:dyDescent="0.25">
      <c r="B20" s="28" t="str">
        <f>'Key Assumptions'!B29</f>
        <v xml:space="preserve">Miscellaneous </v>
      </c>
      <c r="C20" s="44">
        <f>'Key Assumptions'!C29</f>
        <v>250</v>
      </c>
      <c r="D20" s="44">
        <v>255</v>
      </c>
      <c r="E20" s="45">
        <f t="shared" si="0"/>
        <v>-5</v>
      </c>
    </row>
    <row r="21" spans="2:5" ht="25" customHeight="1" x14ac:dyDescent="0.2">
      <c r="B21" s="29" t="s">
        <v>124</v>
      </c>
      <c r="C21" s="46">
        <f>SUM(C12:C20)</f>
        <v>4615</v>
      </c>
      <c r="D21" s="46">
        <f>SUM(D12:D20)</f>
        <v>4720</v>
      </c>
      <c r="E21" s="47">
        <f>C21-D21</f>
        <v>-105</v>
      </c>
    </row>
    <row r="22" spans="2:5" ht="20" customHeight="1" x14ac:dyDescent="0.2"/>
    <row r="23" spans="2:5" ht="30" customHeight="1" x14ac:dyDescent="0.2">
      <c r="B23" s="177" t="s">
        <v>125</v>
      </c>
      <c r="C23" s="181"/>
      <c r="D23" s="181"/>
      <c r="E23" s="178"/>
    </row>
    <row r="24" spans="2:5" ht="25" customHeight="1" x14ac:dyDescent="0.3">
      <c r="B24" s="12" t="s">
        <v>37</v>
      </c>
      <c r="C24" s="13" t="s">
        <v>112</v>
      </c>
      <c r="D24" s="13" t="s">
        <v>113</v>
      </c>
      <c r="E24" s="14" t="s">
        <v>36</v>
      </c>
    </row>
    <row r="25" spans="2:5" ht="20" customHeight="1" x14ac:dyDescent="0.25">
      <c r="B25" s="28" t="s">
        <v>127</v>
      </c>
      <c r="C25" s="44">
        <v>500</v>
      </c>
      <c r="D25" s="44">
        <v>500</v>
      </c>
      <c r="E25" s="45">
        <f>C25-D25</f>
        <v>0</v>
      </c>
    </row>
    <row r="26" spans="2:5" ht="20" customHeight="1" x14ac:dyDescent="0.25">
      <c r="B26" s="28" t="s">
        <v>128</v>
      </c>
      <c r="C26" s="44">
        <v>0</v>
      </c>
      <c r="D26" s="44">
        <v>0</v>
      </c>
      <c r="E26" s="45">
        <f t="shared" ref="E26:E28" si="1">C26-D26</f>
        <v>0</v>
      </c>
    </row>
    <row r="27" spans="2:5" ht="20" customHeight="1" x14ac:dyDescent="0.25">
      <c r="B27" s="28" t="s">
        <v>129</v>
      </c>
      <c r="C27" s="44">
        <v>150</v>
      </c>
      <c r="D27" s="44">
        <v>150</v>
      </c>
      <c r="E27" s="45">
        <f t="shared" si="1"/>
        <v>0</v>
      </c>
    </row>
    <row r="28" spans="2:5" ht="20" customHeight="1" x14ac:dyDescent="0.25">
      <c r="B28" s="28" t="s">
        <v>130</v>
      </c>
      <c r="C28" s="44">
        <v>0</v>
      </c>
      <c r="D28" s="44">
        <v>0</v>
      </c>
      <c r="E28" s="45">
        <f t="shared" si="1"/>
        <v>0</v>
      </c>
    </row>
    <row r="29" spans="2:5" ht="25" customHeight="1" x14ac:dyDescent="0.2">
      <c r="B29" s="29" t="s">
        <v>131</v>
      </c>
      <c r="C29" s="46">
        <f>SUM(C25:C28)</f>
        <v>650</v>
      </c>
      <c r="D29" s="46">
        <f>SUM(D25:D28)</f>
        <v>650</v>
      </c>
      <c r="E29" s="47">
        <f>C29-D29</f>
        <v>0</v>
      </c>
    </row>
    <row r="30" spans="2:5" ht="20" customHeight="1" x14ac:dyDescent="0.2"/>
    <row r="31" spans="2:5" ht="40" customHeight="1" x14ac:dyDescent="0.2">
      <c r="B31" s="177" t="s">
        <v>126</v>
      </c>
      <c r="C31" s="178"/>
    </row>
    <row r="32" spans="2:5" ht="20" customHeight="1" x14ac:dyDescent="0.25">
      <c r="B32" s="28" t="s">
        <v>116</v>
      </c>
      <c r="C32" s="45">
        <f>D8</f>
        <v>5408.33</v>
      </c>
    </row>
    <row r="33" spans="2:3" ht="20" customHeight="1" x14ac:dyDescent="0.25">
      <c r="B33" s="28" t="s">
        <v>124</v>
      </c>
      <c r="C33" s="45">
        <f>D21</f>
        <v>4720</v>
      </c>
    </row>
    <row r="34" spans="2:3" ht="20" customHeight="1" x14ac:dyDescent="0.25">
      <c r="B34" s="28" t="s">
        <v>131</v>
      </c>
      <c r="C34" s="45">
        <f>D29</f>
        <v>650</v>
      </c>
    </row>
    <row r="35" spans="2:3" ht="20" customHeight="1" x14ac:dyDescent="0.25">
      <c r="B35" s="28" t="s">
        <v>38</v>
      </c>
      <c r="C35" s="45">
        <f>D8-D21-D29</f>
        <v>38.329999999999927</v>
      </c>
    </row>
    <row r="36" spans="2:3" ht="20" customHeight="1" x14ac:dyDescent="0.25">
      <c r="B36" s="28" t="s">
        <v>34</v>
      </c>
      <c r="C36" s="27">
        <f>(D25+D26+D28)/D8</f>
        <v>9.2449979938354354E-2</v>
      </c>
    </row>
    <row r="37" spans="2:3" ht="20" customHeight="1" x14ac:dyDescent="0.25">
      <c r="B37" s="28" t="s">
        <v>129</v>
      </c>
      <c r="C37" s="45">
        <f>D27</f>
        <v>150</v>
      </c>
    </row>
    <row r="38" spans="2:3" ht="20" customHeight="1" x14ac:dyDescent="0.2"/>
    <row r="39" spans="2:3" ht="20" customHeight="1" x14ac:dyDescent="0.2"/>
    <row r="40" spans="2:3" ht="20" customHeight="1" x14ac:dyDescent="0.2"/>
    <row r="41" spans="2:3" ht="20" customHeight="1" x14ac:dyDescent="0.2"/>
    <row r="42" spans="2:3" ht="20" customHeight="1" x14ac:dyDescent="0.2"/>
    <row r="43" spans="2:3" ht="20" customHeight="1" x14ac:dyDescent="0.2"/>
    <row r="44" spans="2:3" ht="20" customHeight="1" x14ac:dyDescent="0.2"/>
    <row r="45" spans="2:3" ht="20" customHeight="1" x14ac:dyDescent="0.2"/>
    <row r="46" spans="2:3" ht="20" customHeight="1" x14ac:dyDescent="0.2"/>
    <row r="47" spans="2:3" ht="20" customHeight="1" x14ac:dyDescent="0.2"/>
    <row r="48" spans="2:3" ht="20" customHeight="1" x14ac:dyDescent="0.2"/>
    <row r="49" ht="20" customHeight="1" x14ac:dyDescent="0.2"/>
    <row r="50" ht="20" customHeight="1" x14ac:dyDescent="0.2"/>
    <row r="51" ht="20" customHeight="1" x14ac:dyDescent="0.2"/>
    <row r="52" ht="20" customHeight="1" x14ac:dyDescent="0.2"/>
    <row r="53" ht="20" customHeight="1" x14ac:dyDescent="0.2"/>
    <row r="54" ht="20" customHeight="1" x14ac:dyDescent="0.2"/>
    <row r="55" ht="20" customHeight="1" x14ac:dyDescent="0.2"/>
    <row r="56" ht="20" customHeight="1" x14ac:dyDescent="0.2"/>
    <row r="57" ht="20" customHeight="1" x14ac:dyDescent="0.2"/>
    <row r="58" ht="20" customHeight="1" x14ac:dyDescent="0.2"/>
    <row r="59" ht="20" customHeight="1" x14ac:dyDescent="0.2"/>
    <row r="60" ht="20" customHeight="1" x14ac:dyDescent="0.2"/>
    <row r="61" ht="20" customHeight="1" x14ac:dyDescent="0.2"/>
    <row r="62" ht="20" customHeight="1" x14ac:dyDescent="0.2"/>
    <row r="63" ht="20" customHeight="1" x14ac:dyDescent="0.2"/>
    <row r="64" ht="20" customHeight="1" x14ac:dyDescent="0.2"/>
    <row r="65" ht="20" customHeight="1" x14ac:dyDescent="0.2"/>
    <row r="66" ht="20" customHeight="1" x14ac:dyDescent="0.2"/>
    <row r="67" ht="20" customHeight="1" x14ac:dyDescent="0.2"/>
    <row r="68" ht="20" customHeight="1" x14ac:dyDescent="0.2"/>
    <row r="69" ht="20" customHeight="1" x14ac:dyDescent="0.2"/>
    <row r="70" ht="20" customHeight="1" x14ac:dyDescent="0.2"/>
    <row r="71" ht="20" customHeight="1" x14ac:dyDescent="0.2"/>
    <row r="72" ht="20" customHeight="1" x14ac:dyDescent="0.2"/>
    <row r="73" ht="20" customHeight="1" x14ac:dyDescent="0.2"/>
    <row r="74" ht="20" customHeight="1" x14ac:dyDescent="0.2"/>
    <row r="75" ht="20" customHeight="1" x14ac:dyDescent="0.2"/>
    <row r="76" ht="20" customHeight="1" x14ac:dyDescent="0.2"/>
    <row r="77" ht="20" customHeight="1" x14ac:dyDescent="0.2"/>
    <row r="78" ht="20" customHeight="1" x14ac:dyDescent="0.2"/>
    <row r="79" ht="20" customHeight="1" x14ac:dyDescent="0.2"/>
    <row r="80" ht="20" customHeight="1" x14ac:dyDescent="0.2"/>
    <row r="81" ht="20" customHeight="1" x14ac:dyDescent="0.2"/>
    <row r="82" ht="20" customHeight="1" x14ac:dyDescent="0.2"/>
    <row r="83" ht="20" customHeight="1" x14ac:dyDescent="0.2"/>
    <row r="84" ht="20" customHeight="1" x14ac:dyDescent="0.2"/>
    <row r="85" ht="20" customHeight="1" x14ac:dyDescent="0.2"/>
    <row r="86" ht="20" customHeight="1" x14ac:dyDescent="0.2"/>
    <row r="87" ht="20" customHeight="1" x14ac:dyDescent="0.2"/>
    <row r="88" ht="20" customHeight="1" x14ac:dyDescent="0.2"/>
    <row r="89" ht="20" customHeight="1" x14ac:dyDescent="0.2"/>
    <row r="90" ht="20" customHeight="1" x14ac:dyDescent="0.2"/>
    <row r="91" ht="20" customHeight="1" x14ac:dyDescent="0.2"/>
    <row r="92" ht="20" customHeight="1" x14ac:dyDescent="0.2"/>
    <row r="93" ht="20" customHeight="1" x14ac:dyDescent="0.2"/>
    <row r="94" ht="20" customHeight="1" x14ac:dyDescent="0.2"/>
    <row r="95" ht="20" customHeight="1" x14ac:dyDescent="0.2"/>
    <row r="96" ht="20" customHeight="1" x14ac:dyDescent="0.2"/>
    <row r="97" ht="20" customHeight="1" x14ac:dyDescent="0.2"/>
    <row r="98" ht="20" customHeight="1" x14ac:dyDescent="0.2"/>
    <row r="99" ht="20" customHeight="1" x14ac:dyDescent="0.2"/>
    <row r="100" ht="20" customHeight="1" x14ac:dyDescent="0.2"/>
    <row r="101" ht="20" customHeight="1" x14ac:dyDescent="0.2"/>
    <row r="102" ht="20" customHeight="1" x14ac:dyDescent="0.2"/>
    <row r="103" ht="20" customHeight="1" x14ac:dyDescent="0.2"/>
    <row r="104" ht="20" customHeight="1" x14ac:dyDescent="0.2"/>
    <row r="105" ht="20" customHeight="1" x14ac:dyDescent="0.2"/>
    <row r="106" ht="20" customHeight="1" x14ac:dyDescent="0.2"/>
    <row r="107" ht="20" customHeight="1" x14ac:dyDescent="0.2"/>
    <row r="108" ht="20" customHeight="1" x14ac:dyDescent="0.2"/>
    <row r="109" ht="20" customHeight="1" x14ac:dyDescent="0.2"/>
    <row r="110" ht="20" customHeight="1" x14ac:dyDescent="0.2"/>
    <row r="111" ht="20" customHeight="1" x14ac:dyDescent="0.2"/>
    <row r="112" ht="20" customHeight="1" x14ac:dyDescent="0.2"/>
    <row r="113" ht="20" customHeight="1" x14ac:dyDescent="0.2"/>
    <row r="114" ht="20" customHeight="1" x14ac:dyDescent="0.2"/>
    <row r="115" ht="20" customHeight="1" x14ac:dyDescent="0.2"/>
    <row r="116" ht="20" customHeight="1" x14ac:dyDescent="0.2"/>
    <row r="117" ht="20" customHeight="1" x14ac:dyDescent="0.2"/>
    <row r="118" ht="20" customHeight="1" x14ac:dyDescent="0.2"/>
    <row r="119" ht="20" customHeight="1" x14ac:dyDescent="0.2"/>
    <row r="120" ht="20" customHeight="1" x14ac:dyDescent="0.2"/>
    <row r="121" ht="20" customHeight="1" x14ac:dyDescent="0.2"/>
    <row r="122" ht="20" customHeight="1" x14ac:dyDescent="0.2"/>
    <row r="123" ht="20" customHeight="1" x14ac:dyDescent="0.2"/>
    <row r="124" ht="20" customHeight="1" x14ac:dyDescent="0.2"/>
    <row r="125" ht="20" customHeight="1" x14ac:dyDescent="0.2"/>
    <row r="126" ht="20" customHeight="1" x14ac:dyDescent="0.2"/>
    <row r="127" ht="20" customHeight="1" x14ac:dyDescent="0.2"/>
    <row r="128" ht="20" customHeight="1" x14ac:dyDescent="0.2"/>
    <row r="129" ht="20" customHeight="1" x14ac:dyDescent="0.2"/>
    <row r="130" ht="20" customHeight="1" x14ac:dyDescent="0.2"/>
    <row r="131" ht="20" customHeight="1" x14ac:dyDescent="0.2"/>
    <row r="132" ht="20" customHeight="1" x14ac:dyDescent="0.2"/>
    <row r="133" ht="20" customHeight="1" x14ac:dyDescent="0.2"/>
    <row r="134" ht="20" customHeight="1" x14ac:dyDescent="0.2"/>
    <row r="135" ht="20" customHeight="1" x14ac:dyDescent="0.2"/>
    <row r="136" ht="20" customHeight="1" x14ac:dyDescent="0.2"/>
    <row r="137" ht="20" customHeight="1" x14ac:dyDescent="0.2"/>
    <row r="138" ht="20" customHeight="1" x14ac:dyDescent="0.2"/>
    <row r="139" ht="20" customHeight="1" x14ac:dyDescent="0.2"/>
    <row r="140" ht="20" customHeight="1" x14ac:dyDescent="0.2"/>
    <row r="141" ht="20" customHeight="1" x14ac:dyDescent="0.2"/>
    <row r="142" ht="20" customHeight="1" x14ac:dyDescent="0.2"/>
    <row r="143" ht="20" customHeight="1" x14ac:dyDescent="0.2"/>
    <row r="144" ht="20" customHeight="1" x14ac:dyDescent="0.2"/>
    <row r="145" ht="20" customHeight="1" x14ac:dyDescent="0.2"/>
    <row r="146" ht="20" customHeight="1" x14ac:dyDescent="0.2"/>
    <row r="147" ht="20" customHeight="1" x14ac:dyDescent="0.2"/>
    <row r="148" ht="20" customHeight="1" x14ac:dyDescent="0.2"/>
    <row r="149" ht="20" customHeight="1" x14ac:dyDescent="0.2"/>
    <row r="150" ht="20" customHeight="1" x14ac:dyDescent="0.2"/>
    <row r="151" ht="20" customHeight="1" x14ac:dyDescent="0.2"/>
    <row r="152" ht="20" customHeight="1" x14ac:dyDescent="0.2"/>
    <row r="153" ht="20" customHeight="1" x14ac:dyDescent="0.2"/>
    <row r="154" ht="20" customHeight="1" x14ac:dyDescent="0.2"/>
    <row r="155" ht="20" customHeight="1" x14ac:dyDescent="0.2"/>
    <row r="156" ht="20" customHeight="1" x14ac:dyDescent="0.2"/>
    <row r="157" ht="20" customHeight="1" x14ac:dyDescent="0.2"/>
    <row r="158" ht="20" customHeight="1" x14ac:dyDescent="0.2"/>
    <row r="159" ht="20" customHeight="1" x14ac:dyDescent="0.2"/>
    <row r="160" ht="20" customHeight="1" x14ac:dyDescent="0.2"/>
    <row r="161" ht="20" customHeight="1" x14ac:dyDescent="0.2"/>
    <row r="162" ht="20" customHeight="1" x14ac:dyDescent="0.2"/>
    <row r="163" ht="20" customHeight="1" x14ac:dyDescent="0.2"/>
    <row r="164" ht="20" customHeight="1" x14ac:dyDescent="0.2"/>
    <row r="165" ht="20" customHeight="1" x14ac:dyDescent="0.2"/>
    <row r="166" ht="20" customHeight="1" x14ac:dyDescent="0.2"/>
    <row r="167" ht="20" customHeight="1" x14ac:dyDescent="0.2"/>
    <row r="168" ht="20" customHeight="1" x14ac:dyDescent="0.2"/>
    <row r="169" ht="20" customHeight="1" x14ac:dyDescent="0.2"/>
    <row r="170" ht="20" customHeight="1" x14ac:dyDescent="0.2"/>
    <row r="171" ht="20" customHeight="1" x14ac:dyDescent="0.2"/>
    <row r="172" ht="20" customHeight="1" x14ac:dyDescent="0.2"/>
    <row r="173" ht="20" customHeight="1" x14ac:dyDescent="0.2"/>
    <row r="174" ht="20" customHeight="1" x14ac:dyDescent="0.2"/>
    <row r="175" ht="20" customHeight="1" x14ac:dyDescent="0.2"/>
    <row r="176" ht="20" customHeight="1" x14ac:dyDescent="0.2"/>
    <row r="177" ht="20" customHeight="1" x14ac:dyDescent="0.2"/>
    <row r="178" ht="20" customHeight="1" x14ac:dyDescent="0.2"/>
    <row r="179" ht="20" customHeight="1" x14ac:dyDescent="0.2"/>
    <row r="180" ht="20" customHeight="1" x14ac:dyDescent="0.2"/>
    <row r="181" ht="20" customHeight="1" x14ac:dyDescent="0.2"/>
    <row r="182" ht="20" customHeight="1" x14ac:dyDescent="0.2"/>
    <row r="183" ht="20" customHeight="1" x14ac:dyDescent="0.2"/>
    <row r="184" ht="20" customHeight="1" x14ac:dyDescent="0.2"/>
    <row r="185" ht="20" customHeight="1" x14ac:dyDescent="0.2"/>
    <row r="186" ht="20" customHeight="1" x14ac:dyDescent="0.2"/>
    <row r="187" ht="20" customHeight="1" x14ac:dyDescent="0.2"/>
    <row r="188" ht="20" customHeight="1" x14ac:dyDescent="0.2"/>
    <row r="189" ht="20" customHeight="1" x14ac:dyDescent="0.2"/>
    <row r="190" ht="20" customHeight="1" x14ac:dyDescent="0.2"/>
    <row r="191" ht="20" customHeight="1" x14ac:dyDescent="0.2"/>
    <row r="192" ht="20" customHeight="1" x14ac:dyDescent="0.2"/>
    <row r="193" ht="20" customHeight="1" x14ac:dyDescent="0.2"/>
    <row r="194" ht="20" customHeight="1" x14ac:dyDescent="0.2"/>
    <row r="195" ht="20" customHeight="1" x14ac:dyDescent="0.2"/>
  </sheetData>
  <mergeCells count="5">
    <mergeCell ref="B31:C31"/>
    <mergeCell ref="B1:E1"/>
    <mergeCell ref="B4:E4"/>
    <mergeCell ref="B10:E10"/>
    <mergeCell ref="B23:E2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3DE9AF-9EEE-E54A-95ED-668F50714329}">
  <sheetPr>
    <tabColor rgb="FFB27D57"/>
  </sheetPr>
  <dimension ref="B1:L205"/>
  <sheetViews>
    <sheetView showGridLines="0" showRowColHeaders="0" topLeftCell="A13" zoomScale="120" zoomScaleNormal="120" workbookViewId="0">
      <selection activeCell="E5" sqref="E5"/>
    </sheetView>
  </sheetViews>
  <sheetFormatPr baseColWidth="10" defaultRowHeight="16" x14ac:dyDescent="0.2"/>
  <cols>
    <col min="1" max="1" width="5.83203125" customWidth="1"/>
    <col min="2" max="2" width="33" customWidth="1"/>
    <col min="3" max="3" width="22.6640625" customWidth="1"/>
    <col min="4" max="4" width="22.1640625" customWidth="1"/>
    <col min="5" max="5" width="15.5" customWidth="1"/>
    <col min="6" max="6" width="25.83203125" customWidth="1"/>
    <col min="7" max="7" width="16.33203125" customWidth="1"/>
  </cols>
  <sheetData>
    <row r="1" spans="2:12" ht="47" x14ac:dyDescent="0.2">
      <c r="B1" s="182" t="s">
        <v>217</v>
      </c>
      <c r="C1" s="182"/>
      <c r="D1" s="182"/>
      <c r="E1" s="182"/>
      <c r="F1" s="182"/>
      <c r="G1" s="182"/>
      <c r="H1" s="3"/>
      <c r="I1" s="3"/>
      <c r="J1" s="3"/>
      <c r="K1" s="3"/>
      <c r="L1" s="3"/>
    </row>
    <row r="2" spans="2:12" ht="20" customHeight="1" x14ac:dyDescent="0.2">
      <c r="B2" s="121" t="str">
        <f>'Client Profile'!B2</f>
        <v>Christopher Miller</v>
      </c>
      <c r="C2" s="122" t="str">
        <f>'Client Profile'!C2</f>
        <v>September 2026</v>
      </c>
      <c r="D2" s="123"/>
      <c r="E2" s="123"/>
      <c r="F2" s="124"/>
      <c r="G2" s="123"/>
      <c r="H2" s="3"/>
      <c r="I2" s="3"/>
      <c r="J2" s="3"/>
      <c r="K2" s="3"/>
      <c r="L2" s="3"/>
    </row>
    <row r="3" spans="2:12" ht="5" customHeight="1" x14ac:dyDescent="0.2">
      <c r="F3" s="4"/>
      <c r="G3" s="4"/>
      <c r="H3" s="4"/>
      <c r="I3" s="4"/>
      <c r="J3" s="4"/>
      <c r="K3" s="4"/>
      <c r="L3" s="4"/>
    </row>
    <row r="4" spans="2:12" ht="40" customHeight="1" x14ac:dyDescent="0.2">
      <c r="B4" s="183" t="s">
        <v>218</v>
      </c>
      <c r="C4" s="184"/>
    </row>
    <row r="5" spans="2:12" ht="20" customHeight="1" x14ac:dyDescent="0.2">
      <c r="B5" s="98" t="s">
        <v>236</v>
      </c>
      <c r="C5" s="99">
        <f>'Key Assumptions'!C33</f>
        <v>3</v>
      </c>
    </row>
    <row r="6" spans="2:12" ht="20" customHeight="1" x14ac:dyDescent="0.2">
      <c r="B6" s="98" t="s">
        <v>244</v>
      </c>
      <c r="C6" s="100">
        <f>'Key Assumptions'!C34</f>
        <v>14000</v>
      </c>
    </row>
    <row r="7" spans="2:12" ht="20" customHeight="1" x14ac:dyDescent="0.2">
      <c r="B7" s="98" t="s">
        <v>220</v>
      </c>
      <c r="C7" s="100">
        <f>'Financial Position'!D8</f>
        <v>2000</v>
      </c>
    </row>
    <row r="8" spans="2:12" ht="20" customHeight="1" x14ac:dyDescent="0.2">
      <c r="B8" s="98" t="s">
        <v>222</v>
      </c>
      <c r="C8" s="100">
        <f>C6-C7</f>
        <v>12000</v>
      </c>
    </row>
    <row r="9" spans="2:12" ht="20" customHeight="1" x14ac:dyDescent="0.2">
      <c r="B9" s="98" t="s">
        <v>221</v>
      </c>
      <c r="C9" s="100">
        <f>'Key Assumptions'!C35</f>
        <v>500</v>
      </c>
    </row>
    <row r="10" spans="2:12" ht="20" customHeight="1" x14ac:dyDescent="0.2">
      <c r="B10" s="98" t="s">
        <v>275</v>
      </c>
      <c r="C10" s="101">
        <f>C7/C6</f>
        <v>0.14285714285714285</v>
      </c>
    </row>
    <row r="11" spans="2:12" ht="20" customHeight="1" x14ac:dyDescent="0.2">
      <c r="B11" s="98" t="s">
        <v>224</v>
      </c>
      <c r="C11" s="102" t="str">
        <f>B38</f>
        <v>August 2028</v>
      </c>
    </row>
    <row r="12" spans="2:12" ht="20" customHeight="1" x14ac:dyDescent="0.2"/>
    <row r="13" spans="2:12" ht="30" customHeight="1" x14ac:dyDescent="0.35">
      <c r="B13" s="185" t="s">
        <v>225</v>
      </c>
      <c r="C13" s="186"/>
      <c r="D13" s="186"/>
      <c r="E13" s="186"/>
      <c r="F13" s="186"/>
      <c r="G13" s="187"/>
    </row>
    <row r="14" spans="2:12" ht="25" customHeight="1" x14ac:dyDescent="0.2">
      <c r="B14" s="125" t="s">
        <v>163</v>
      </c>
      <c r="C14" s="126" t="s">
        <v>227</v>
      </c>
      <c r="D14" s="126" t="s">
        <v>228</v>
      </c>
      <c r="E14" s="126" t="s">
        <v>226</v>
      </c>
      <c r="F14" s="126" t="s">
        <v>222</v>
      </c>
      <c r="G14" s="127" t="s">
        <v>223</v>
      </c>
    </row>
    <row r="15" spans="2:12" ht="20" customHeight="1" x14ac:dyDescent="0.2">
      <c r="B15" s="103" t="s">
        <v>114</v>
      </c>
      <c r="C15" s="104">
        <v>0</v>
      </c>
      <c r="D15" s="104">
        <f>2000*('Key Assumptions'!$C$47/12)</f>
        <v>5.8333333333333339</v>
      </c>
      <c r="E15" s="104">
        <f>2000+C15+D15</f>
        <v>2005.8333333333333</v>
      </c>
      <c r="F15" s="104">
        <f t="shared" ref="F15:F38" si="0">MAX(0,$C$6-E15)</f>
        <v>11994.166666666666</v>
      </c>
      <c r="G15" s="101">
        <f t="shared" ref="G15:G16" si="1">MIN(1,E15/$C$6)</f>
        <v>0.14327380952380953</v>
      </c>
    </row>
    <row r="16" spans="2:12" ht="20" customHeight="1" x14ac:dyDescent="0.2">
      <c r="B16" s="103" t="s">
        <v>169</v>
      </c>
      <c r="C16" s="104">
        <f t="shared" ref="C16:C38" si="2">$C$9</f>
        <v>500</v>
      </c>
      <c r="D16" s="104">
        <f>E15*('Key Assumptions'!$C$47/12)</f>
        <v>5.8503472222222221</v>
      </c>
      <c r="E16" s="104">
        <f>2000+C16+D16</f>
        <v>2505.8503472222224</v>
      </c>
      <c r="F16" s="104">
        <f t="shared" si="0"/>
        <v>11494.149652777778</v>
      </c>
      <c r="G16" s="101">
        <f t="shared" si="1"/>
        <v>0.17898931051587302</v>
      </c>
    </row>
    <row r="17" spans="2:7" ht="20" customHeight="1" x14ac:dyDescent="0.2">
      <c r="B17" s="103" t="s">
        <v>170</v>
      </c>
      <c r="C17" s="104">
        <f t="shared" si="2"/>
        <v>500</v>
      </c>
      <c r="D17" s="104">
        <f>E16*('Key Assumptions'!$C$47/12)</f>
        <v>7.3087301793981485</v>
      </c>
      <c r="E17" s="104">
        <f>E16+C17+D17</f>
        <v>3013.1590774016204</v>
      </c>
      <c r="F17" s="104">
        <f t="shared" si="0"/>
        <v>10986.84092259838</v>
      </c>
      <c r="G17" s="101">
        <f>MIN(1,E17/$C$6)</f>
        <v>0.21522564838583003</v>
      </c>
    </row>
    <row r="18" spans="2:7" ht="20" customHeight="1" x14ac:dyDescent="0.2">
      <c r="B18" s="103" t="s">
        <v>171</v>
      </c>
      <c r="C18" s="104">
        <f t="shared" si="2"/>
        <v>500</v>
      </c>
      <c r="D18" s="104">
        <f>E17*('Key Assumptions'!$C$47/12)</f>
        <v>8.7883806424213926</v>
      </c>
      <c r="E18" s="104">
        <f>E17+C18+D18</f>
        <v>3521.9474580440419</v>
      </c>
      <c r="F18" s="104">
        <f t="shared" si="0"/>
        <v>10478.052541955958</v>
      </c>
      <c r="G18" s="101">
        <f t="shared" ref="G18:G38" si="3">MIN(1,E18/$C$6)</f>
        <v>0.25156767557457443</v>
      </c>
    </row>
    <row r="19" spans="2:7" ht="20" customHeight="1" x14ac:dyDescent="0.2">
      <c r="B19" s="103" t="s">
        <v>172</v>
      </c>
      <c r="C19" s="104">
        <f t="shared" si="2"/>
        <v>500</v>
      </c>
      <c r="D19" s="104">
        <f>E18*('Key Assumptions'!$C$47/12)</f>
        <v>10.272346752628456</v>
      </c>
      <c r="E19" s="104">
        <f t="shared" ref="E19:E38" si="4">E18+C19+D19</f>
        <v>4032.2198047966704</v>
      </c>
      <c r="F19" s="104">
        <f t="shared" si="0"/>
        <v>9967.7801952033296</v>
      </c>
      <c r="G19" s="101">
        <f t="shared" si="3"/>
        <v>0.28801570034261931</v>
      </c>
    </row>
    <row r="20" spans="2:7" ht="20" customHeight="1" x14ac:dyDescent="0.2">
      <c r="B20" s="103" t="s">
        <v>173</v>
      </c>
      <c r="C20" s="104">
        <f t="shared" si="2"/>
        <v>500</v>
      </c>
      <c r="D20" s="104">
        <f>E19*('Key Assumptions'!$C$47/12)</f>
        <v>11.760641097323623</v>
      </c>
      <c r="E20" s="104">
        <f t="shared" si="4"/>
        <v>4543.9804458939943</v>
      </c>
      <c r="F20" s="104">
        <f t="shared" si="0"/>
        <v>9456.0195541060057</v>
      </c>
      <c r="G20" s="101">
        <f t="shared" si="3"/>
        <v>0.32457003184957101</v>
      </c>
    </row>
    <row r="21" spans="2:7" ht="20" customHeight="1" x14ac:dyDescent="0.25">
      <c r="B21" s="105" t="s">
        <v>174</v>
      </c>
      <c r="C21" s="104">
        <f t="shared" si="2"/>
        <v>500</v>
      </c>
      <c r="D21" s="104">
        <f>E20*('Key Assumptions'!$C$47/12)</f>
        <v>13.253276300524151</v>
      </c>
      <c r="E21" s="104">
        <f t="shared" si="4"/>
        <v>5057.2337221945181</v>
      </c>
      <c r="F21" s="104">
        <f t="shared" si="0"/>
        <v>8942.7662778054819</v>
      </c>
      <c r="G21" s="101">
        <f t="shared" si="3"/>
        <v>0.36123098015675131</v>
      </c>
    </row>
    <row r="22" spans="2:7" ht="20" customHeight="1" x14ac:dyDescent="0.25">
      <c r="B22" s="105" t="s">
        <v>175</v>
      </c>
      <c r="C22" s="104">
        <f t="shared" si="2"/>
        <v>500</v>
      </c>
      <c r="D22" s="104">
        <f>E21*('Key Assumptions'!$C$47/12)</f>
        <v>14.750265023067346</v>
      </c>
      <c r="E22" s="104">
        <f t="shared" si="4"/>
        <v>5571.9839872175853</v>
      </c>
      <c r="F22" s="104">
        <f t="shared" si="0"/>
        <v>8428.0160127824147</v>
      </c>
      <c r="G22" s="101">
        <f t="shared" si="3"/>
        <v>0.3979988562298275</v>
      </c>
    </row>
    <row r="23" spans="2:7" ht="20" customHeight="1" x14ac:dyDescent="0.25">
      <c r="B23" s="105" t="s">
        <v>176</v>
      </c>
      <c r="C23" s="104">
        <f t="shared" si="2"/>
        <v>500</v>
      </c>
      <c r="D23" s="104">
        <f>E22*('Key Assumptions'!$C$47/12)</f>
        <v>16.251619962717957</v>
      </c>
      <c r="E23" s="104">
        <f t="shared" si="4"/>
        <v>6088.2356071803033</v>
      </c>
      <c r="F23" s="104">
        <f t="shared" si="0"/>
        <v>7911.7643928196967</v>
      </c>
      <c r="G23" s="101">
        <f t="shared" si="3"/>
        <v>0.43487397194145022</v>
      </c>
    </row>
    <row r="24" spans="2:7" ht="20" customHeight="1" x14ac:dyDescent="0.25">
      <c r="B24" s="105" t="s">
        <v>177</v>
      </c>
      <c r="C24" s="104">
        <f t="shared" si="2"/>
        <v>500</v>
      </c>
      <c r="D24" s="104">
        <f>E23*('Key Assumptions'!$C$47/12)</f>
        <v>17.757353854275884</v>
      </c>
      <c r="E24" s="104">
        <f t="shared" si="4"/>
        <v>6605.9929610345789</v>
      </c>
      <c r="F24" s="104">
        <f t="shared" si="0"/>
        <v>7394.0070389654211</v>
      </c>
      <c r="G24" s="101">
        <f t="shared" si="3"/>
        <v>0.47185664007389849</v>
      </c>
    </row>
    <row r="25" spans="2:7" ht="20" customHeight="1" x14ac:dyDescent="0.25">
      <c r="B25" s="105" t="s">
        <v>161</v>
      </c>
      <c r="C25" s="104">
        <f t="shared" si="2"/>
        <v>500</v>
      </c>
      <c r="D25" s="104">
        <f>E24*('Key Assumptions'!$C$47/12)</f>
        <v>19.26747946968419</v>
      </c>
      <c r="E25" s="104">
        <f t="shared" si="4"/>
        <v>7125.260440504263</v>
      </c>
      <c r="F25" s="104">
        <f t="shared" si="0"/>
        <v>6874.739559495737</v>
      </c>
      <c r="G25" s="101">
        <f t="shared" si="3"/>
        <v>0.50894717432173309</v>
      </c>
    </row>
    <row r="26" spans="2:7" ht="20" customHeight="1" x14ac:dyDescent="0.25">
      <c r="B26" s="105" t="s">
        <v>178</v>
      </c>
      <c r="C26" s="104">
        <f t="shared" si="2"/>
        <v>500</v>
      </c>
      <c r="D26" s="104">
        <f>E25*('Key Assumptions'!$C$47/12)</f>
        <v>20.782009618137433</v>
      </c>
      <c r="E26" s="104">
        <f t="shared" si="4"/>
        <v>7646.0424501224006</v>
      </c>
      <c r="F26" s="104">
        <f t="shared" si="0"/>
        <v>6353.9575498775994</v>
      </c>
      <c r="G26" s="101">
        <f t="shared" si="3"/>
        <v>0.54614588929445718</v>
      </c>
    </row>
    <row r="27" spans="2:7" ht="20" customHeight="1" x14ac:dyDescent="0.25">
      <c r="B27" s="105" t="s">
        <v>179</v>
      </c>
      <c r="C27" s="104">
        <f t="shared" si="2"/>
        <v>500</v>
      </c>
      <c r="D27" s="104">
        <f>E26*('Key Assumptions'!$C$47/12)</f>
        <v>22.300957146190335</v>
      </c>
      <c r="E27" s="104">
        <f t="shared" si="4"/>
        <v>8168.3434072685914</v>
      </c>
      <c r="F27" s="104">
        <f t="shared" si="0"/>
        <v>5831.6565927314086</v>
      </c>
      <c r="G27" s="101">
        <f t="shared" si="3"/>
        <v>0.58345310051918509</v>
      </c>
    </row>
    <row r="28" spans="2:7" ht="20" customHeight="1" x14ac:dyDescent="0.2">
      <c r="B28" s="103" t="s">
        <v>180</v>
      </c>
      <c r="C28" s="104">
        <f t="shared" si="2"/>
        <v>500</v>
      </c>
      <c r="D28" s="104">
        <f>E27*('Key Assumptions'!$C$47/12)</f>
        <v>23.824334937866727</v>
      </c>
      <c r="E28" s="104">
        <f t="shared" si="4"/>
        <v>8692.1677422064586</v>
      </c>
      <c r="F28" s="104">
        <f t="shared" si="0"/>
        <v>5307.8322577935414</v>
      </c>
      <c r="G28" s="101">
        <f t="shared" si="3"/>
        <v>0.62086912444331843</v>
      </c>
    </row>
    <row r="29" spans="2:7" ht="20" customHeight="1" x14ac:dyDescent="0.2">
      <c r="B29" s="103" t="s">
        <v>181</v>
      </c>
      <c r="C29" s="104">
        <f t="shared" si="2"/>
        <v>500</v>
      </c>
      <c r="D29" s="104">
        <f>E28*('Key Assumptions'!$C$47/12)</f>
        <v>25.35215591476884</v>
      </c>
      <c r="E29" s="104">
        <f t="shared" si="4"/>
        <v>9217.519898121227</v>
      </c>
      <c r="F29" s="104">
        <f t="shared" si="0"/>
        <v>4782.480101878773</v>
      </c>
      <c r="G29" s="101">
        <f t="shared" si="3"/>
        <v>0.65839427843723053</v>
      </c>
    </row>
    <row r="30" spans="2:7" ht="20" customHeight="1" x14ac:dyDescent="0.2">
      <c r="B30" s="103" t="s">
        <v>182</v>
      </c>
      <c r="C30" s="104">
        <f t="shared" si="2"/>
        <v>500</v>
      </c>
      <c r="D30" s="104">
        <f>E29*('Key Assumptions'!$C$47/12)</f>
        <v>26.884433036186913</v>
      </c>
      <c r="E30" s="104">
        <f t="shared" si="4"/>
        <v>9744.4043311574133</v>
      </c>
      <c r="F30" s="104">
        <f t="shared" si="0"/>
        <v>4255.5956688425867</v>
      </c>
      <c r="G30" s="101">
        <f t="shared" si="3"/>
        <v>0.69602888079695813</v>
      </c>
    </row>
    <row r="31" spans="2:7" ht="20" customHeight="1" x14ac:dyDescent="0.2">
      <c r="B31" s="103" t="s">
        <v>183</v>
      </c>
      <c r="C31" s="104">
        <f t="shared" si="2"/>
        <v>500</v>
      </c>
      <c r="D31" s="104">
        <f>E30*('Key Assumptions'!$C$47/12)</f>
        <v>28.421179299209122</v>
      </c>
      <c r="E31" s="104">
        <f t="shared" si="4"/>
        <v>10272.825510456621</v>
      </c>
      <c r="F31" s="104">
        <f t="shared" si="0"/>
        <v>3727.1744895433785</v>
      </c>
      <c r="G31" s="101">
        <f t="shared" si="3"/>
        <v>0.73377325074690158</v>
      </c>
    </row>
    <row r="32" spans="2:7" ht="20" customHeight="1" x14ac:dyDescent="0.2">
      <c r="B32" s="103" t="s">
        <v>184</v>
      </c>
      <c r="C32" s="104">
        <f t="shared" si="2"/>
        <v>500</v>
      </c>
      <c r="D32" s="104">
        <f>E31*('Key Assumptions'!$C$47/12)</f>
        <v>29.962407738831814</v>
      </c>
      <c r="E32" s="104">
        <f t="shared" si="4"/>
        <v>10802.787918195454</v>
      </c>
      <c r="F32" s="104">
        <f t="shared" si="0"/>
        <v>3197.212081804546</v>
      </c>
      <c r="G32" s="101">
        <f t="shared" si="3"/>
        <v>0.77162770844253248</v>
      </c>
    </row>
    <row r="33" spans="2:7" ht="20" customHeight="1" x14ac:dyDescent="0.25">
      <c r="B33" s="105" t="s">
        <v>185</v>
      </c>
      <c r="C33" s="104">
        <f t="shared" si="2"/>
        <v>500</v>
      </c>
      <c r="D33" s="104">
        <f>E32*('Key Assumptions'!$C$47/12)</f>
        <v>31.508131428070076</v>
      </c>
      <c r="E33" s="104">
        <f t="shared" si="4"/>
        <v>11334.296049623525</v>
      </c>
      <c r="F33" s="104">
        <f t="shared" si="0"/>
        <v>2665.7039503764754</v>
      </c>
      <c r="G33" s="101">
        <f t="shared" si="3"/>
        <v>0.80959257497310888</v>
      </c>
    </row>
    <row r="34" spans="2:7" ht="20" customHeight="1" x14ac:dyDescent="0.25">
      <c r="B34" s="105" t="s">
        <v>186</v>
      </c>
      <c r="C34" s="104">
        <f t="shared" si="2"/>
        <v>500</v>
      </c>
      <c r="D34" s="104">
        <f>E33*('Key Assumptions'!$C$47/12)</f>
        <v>33.058363478068614</v>
      </c>
      <c r="E34" s="104">
        <f t="shared" si="4"/>
        <v>11867.354413101593</v>
      </c>
      <c r="F34" s="104">
        <f t="shared" si="0"/>
        <v>2132.6455868984067</v>
      </c>
      <c r="G34" s="101">
        <f t="shared" si="3"/>
        <v>0.84766817236439951</v>
      </c>
    </row>
    <row r="35" spans="2:7" ht="20" customHeight="1" x14ac:dyDescent="0.25">
      <c r="B35" s="105" t="s">
        <v>187</v>
      </c>
      <c r="C35" s="104">
        <f t="shared" si="2"/>
        <v>500</v>
      </c>
      <c r="D35" s="104">
        <f>E34*('Key Assumptions'!$C$47/12)</f>
        <v>34.613117038212984</v>
      </c>
      <c r="E35" s="104">
        <f t="shared" si="4"/>
        <v>12401.967530139806</v>
      </c>
      <c r="F35" s="104">
        <f t="shared" si="0"/>
        <v>1598.0324698601944</v>
      </c>
      <c r="G35" s="101">
        <f t="shared" si="3"/>
        <v>0.88585482358141465</v>
      </c>
    </row>
    <row r="36" spans="2:7" ht="20" customHeight="1" x14ac:dyDescent="0.25">
      <c r="B36" s="105" t="s">
        <v>188</v>
      </c>
      <c r="C36" s="104">
        <f t="shared" si="2"/>
        <v>500</v>
      </c>
      <c r="D36" s="104">
        <f>E35*('Key Assumptions'!$C$47/12)</f>
        <v>36.172405296241102</v>
      </c>
      <c r="E36" s="104">
        <f t="shared" si="4"/>
        <v>12938.139935436047</v>
      </c>
      <c r="F36" s="104">
        <f t="shared" si="0"/>
        <v>1061.8600645639526</v>
      </c>
      <c r="G36" s="101">
        <f t="shared" si="3"/>
        <v>0.92415285253114621</v>
      </c>
    </row>
    <row r="37" spans="2:7" ht="20" customHeight="1" x14ac:dyDescent="0.25">
      <c r="B37" s="105" t="s">
        <v>162</v>
      </c>
      <c r="C37" s="104">
        <f t="shared" si="2"/>
        <v>500</v>
      </c>
      <c r="D37" s="104">
        <f>E36*('Key Assumptions'!$C$47/12)</f>
        <v>37.73624147835514</v>
      </c>
      <c r="E37" s="104">
        <f t="shared" si="4"/>
        <v>13475.876176914402</v>
      </c>
      <c r="F37" s="104">
        <f t="shared" si="0"/>
        <v>524.12382308559791</v>
      </c>
      <c r="G37" s="101">
        <f t="shared" si="3"/>
        <v>0.96256258406531447</v>
      </c>
    </row>
    <row r="38" spans="2:7" ht="20" customHeight="1" x14ac:dyDescent="0.25">
      <c r="B38" s="105" t="s">
        <v>189</v>
      </c>
      <c r="C38" s="104">
        <f t="shared" si="2"/>
        <v>500</v>
      </c>
      <c r="D38" s="104">
        <f>E37*('Key Assumptions'!$C$47/12)</f>
        <v>39.304638849333678</v>
      </c>
      <c r="E38" s="104">
        <f t="shared" si="4"/>
        <v>14015.180815763735</v>
      </c>
      <c r="F38" s="104">
        <f t="shared" si="0"/>
        <v>0</v>
      </c>
      <c r="G38" s="101">
        <f t="shared" si="3"/>
        <v>1</v>
      </c>
    </row>
    <row r="39" spans="2:7" ht="20" customHeight="1" x14ac:dyDescent="0.2"/>
    <row r="40" spans="2:7" ht="20" customHeight="1" x14ac:dyDescent="0.2"/>
    <row r="41" spans="2:7" ht="20" customHeight="1" x14ac:dyDescent="0.2"/>
    <row r="42" spans="2:7" ht="20" customHeight="1" x14ac:dyDescent="0.2"/>
    <row r="43" spans="2:7" ht="20" customHeight="1" x14ac:dyDescent="0.2"/>
    <row r="44" spans="2:7" ht="20" customHeight="1" x14ac:dyDescent="0.2"/>
    <row r="45" spans="2:7" ht="20" customHeight="1" x14ac:dyDescent="0.2"/>
    <row r="46" spans="2:7" ht="20" customHeight="1" x14ac:dyDescent="0.2"/>
    <row r="47" spans="2:7" ht="20" customHeight="1" x14ac:dyDescent="0.2"/>
    <row r="48" spans="2:7" ht="20" customHeight="1" x14ac:dyDescent="0.2"/>
    <row r="63" spans="2:2" x14ac:dyDescent="0.2">
      <c r="B63" s="62"/>
    </row>
    <row r="64" spans="2:2" x14ac:dyDescent="0.2">
      <c r="B64" s="62"/>
    </row>
    <row r="65" spans="2:2" x14ac:dyDescent="0.2">
      <c r="B65" s="62"/>
    </row>
    <row r="66" spans="2:2" x14ac:dyDescent="0.2">
      <c r="B66" s="62"/>
    </row>
    <row r="67" spans="2:2" x14ac:dyDescent="0.2">
      <c r="B67" s="62"/>
    </row>
    <row r="68" spans="2:2" x14ac:dyDescent="0.2">
      <c r="B68" s="62"/>
    </row>
    <row r="69" spans="2:2" x14ac:dyDescent="0.2">
      <c r="B69" s="62"/>
    </row>
    <row r="70" spans="2:2" x14ac:dyDescent="0.2">
      <c r="B70" s="62"/>
    </row>
    <row r="71" spans="2:2" x14ac:dyDescent="0.2">
      <c r="B71" s="62"/>
    </row>
    <row r="72" spans="2:2" x14ac:dyDescent="0.2">
      <c r="B72" s="62"/>
    </row>
    <row r="73" spans="2:2" x14ac:dyDescent="0.2">
      <c r="B73" s="62"/>
    </row>
    <row r="74" spans="2:2" x14ac:dyDescent="0.2">
      <c r="B74" s="62"/>
    </row>
    <row r="75" spans="2:2" x14ac:dyDescent="0.2">
      <c r="B75" s="62"/>
    </row>
    <row r="76" spans="2:2" x14ac:dyDescent="0.2">
      <c r="B76" s="62"/>
    </row>
    <row r="77" spans="2:2" x14ac:dyDescent="0.2">
      <c r="B77" s="62"/>
    </row>
    <row r="78" spans="2:2" x14ac:dyDescent="0.2">
      <c r="B78" s="62"/>
    </row>
    <row r="79" spans="2:2" x14ac:dyDescent="0.2">
      <c r="B79" s="62"/>
    </row>
    <row r="80" spans="2:2" x14ac:dyDescent="0.2">
      <c r="B80" s="62"/>
    </row>
    <row r="81" spans="2:2" x14ac:dyDescent="0.2">
      <c r="B81" s="62"/>
    </row>
    <row r="82" spans="2:2" x14ac:dyDescent="0.2">
      <c r="B82" s="62"/>
    </row>
    <row r="83" spans="2:2" x14ac:dyDescent="0.2">
      <c r="B83" s="62"/>
    </row>
    <row r="84" spans="2:2" x14ac:dyDescent="0.2">
      <c r="B84" s="62"/>
    </row>
    <row r="85" spans="2:2" x14ac:dyDescent="0.2">
      <c r="B85" s="62"/>
    </row>
    <row r="86" spans="2:2" x14ac:dyDescent="0.2">
      <c r="B86" s="62"/>
    </row>
    <row r="87" spans="2:2" x14ac:dyDescent="0.2">
      <c r="B87" s="62"/>
    </row>
    <row r="88" spans="2:2" x14ac:dyDescent="0.2">
      <c r="B88" s="62"/>
    </row>
    <row r="89" spans="2:2" x14ac:dyDescent="0.2">
      <c r="B89" s="62"/>
    </row>
    <row r="90" spans="2:2" x14ac:dyDescent="0.2">
      <c r="B90" s="62"/>
    </row>
    <row r="91" spans="2:2" x14ac:dyDescent="0.2">
      <c r="B91" s="62"/>
    </row>
    <row r="92" spans="2:2" x14ac:dyDescent="0.2">
      <c r="B92" s="62"/>
    </row>
    <row r="93" spans="2:2" x14ac:dyDescent="0.2">
      <c r="B93" s="62"/>
    </row>
    <row r="94" spans="2:2" x14ac:dyDescent="0.2">
      <c r="B94" s="62"/>
    </row>
    <row r="95" spans="2:2" x14ac:dyDescent="0.2">
      <c r="B95" s="62"/>
    </row>
    <row r="96" spans="2:2" x14ac:dyDescent="0.2">
      <c r="B96" s="62"/>
    </row>
    <row r="97" spans="2:2" x14ac:dyDescent="0.2">
      <c r="B97" s="62"/>
    </row>
    <row r="98" spans="2:2" x14ac:dyDescent="0.2">
      <c r="B98" s="62"/>
    </row>
    <row r="99" spans="2:2" x14ac:dyDescent="0.2">
      <c r="B99" s="62"/>
    </row>
    <row r="100" spans="2:2" x14ac:dyDescent="0.2">
      <c r="B100" s="62"/>
    </row>
    <row r="101" spans="2:2" x14ac:dyDescent="0.2">
      <c r="B101" s="62"/>
    </row>
    <row r="102" spans="2:2" x14ac:dyDescent="0.2">
      <c r="B102" s="62"/>
    </row>
    <row r="103" spans="2:2" x14ac:dyDescent="0.2">
      <c r="B103" s="62"/>
    </row>
    <row r="104" spans="2:2" x14ac:dyDescent="0.2">
      <c r="B104" s="62"/>
    </row>
    <row r="105" spans="2:2" x14ac:dyDescent="0.2">
      <c r="B105" s="62"/>
    </row>
    <row r="106" spans="2:2" x14ac:dyDescent="0.2">
      <c r="B106" s="62"/>
    </row>
    <row r="107" spans="2:2" x14ac:dyDescent="0.2">
      <c r="B107" s="62"/>
    </row>
    <row r="108" spans="2:2" x14ac:dyDescent="0.2">
      <c r="B108" s="62"/>
    </row>
    <row r="109" spans="2:2" x14ac:dyDescent="0.2">
      <c r="B109" s="62"/>
    </row>
    <row r="110" spans="2:2" x14ac:dyDescent="0.2">
      <c r="B110" s="62"/>
    </row>
    <row r="111" spans="2:2" x14ac:dyDescent="0.2">
      <c r="B111" s="62"/>
    </row>
    <row r="112" spans="2:2" x14ac:dyDescent="0.2">
      <c r="B112" s="62"/>
    </row>
    <row r="113" spans="2:2" x14ac:dyDescent="0.2">
      <c r="B113" s="62"/>
    </row>
    <row r="114" spans="2:2" x14ac:dyDescent="0.2">
      <c r="B114" s="62"/>
    </row>
    <row r="115" spans="2:2" x14ac:dyDescent="0.2">
      <c r="B115" s="62"/>
    </row>
    <row r="116" spans="2:2" x14ac:dyDescent="0.2">
      <c r="B116" s="62"/>
    </row>
    <row r="117" spans="2:2" x14ac:dyDescent="0.2">
      <c r="B117" s="62"/>
    </row>
    <row r="118" spans="2:2" x14ac:dyDescent="0.2">
      <c r="B118" s="62"/>
    </row>
    <row r="119" spans="2:2" x14ac:dyDescent="0.2">
      <c r="B119" s="62"/>
    </row>
    <row r="120" spans="2:2" x14ac:dyDescent="0.2">
      <c r="B120" s="62"/>
    </row>
    <row r="121" spans="2:2" x14ac:dyDescent="0.2">
      <c r="B121" s="62"/>
    </row>
    <row r="122" spans="2:2" x14ac:dyDescent="0.2">
      <c r="B122" s="62"/>
    </row>
    <row r="123" spans="2:2" x14ac:dyDescent="0.2">
      <c r="B123" s="62"/>
    </row>
    <row r="124" spans="2:2" x14ac:dyDescent="0.2">
      <c r="B124" s="62"/>
    </row>
    <row r="125" spans="2:2" x14ac:dyDescent="0.2">
      <c r="B125" s="62"/>
    </row>
    <row r="126" spans="2:2" x14ac:dyDescent="0.2">
      <c r="B126" s="62"/>
    </row>
    <row r="127" spans="2:2" x14ac:dyDescent="0.2">
      <c r="B127" s="62"/>
    </row>
    <row r="128" spans="2:2" x14ac:dyDescent="0.2">
      <c r="B128" s="62"/>
    </row>
    <row r="129" spans="2:2" x14ac:dyDescent="0.2">
      <c r="B129" s="62"/>
    </row>
    <row r="130" spans="2:2" x14ac:dyDescent="0.2">
      <c r="B130" s="62"/>
    </row>
    <row r="131" spans="2:2" x14ac:dyDescent="0.2">
      <c r="B131" s="62"/>
    </row>
    <row r="132" spans="2:2" x14ac:dyDescent="0.2">
      <c r="B132" s="62"/>
    </row>
    <row r="133" spans="2:2" x14ac:dyDescent="0.2">
      <c r="B133" s="62"/>
    </row>
    <row r="134" spans="2:2" x14ac:dyDescent="0.2">
      <c r="B134" s="62"/>
    </row>
    <row r="135" spans="2:2" x14ac:dyDescent="0.2">
      <c r="B135" s="62"/>
    </row>
    <row r="136" spans="2:2" x14ac:dyDescent="0.2">
      <c r="B136" s="62"/>
    </row>
    <row r="137" spans="2:2" x14ac:dyDescent="0.2">
      <c r="B137" s="62"/>
    </row>
    <row r="138" spans="2:2" x14ac:dyDescent="0.2">
      <c r="B138" s="62"/>
    </row>
    <row r="139" spans="2:2" x14ac:dyDescent="0.2">
      <c r="B139" s="62"/>
    </row>
    <row r="140" spans="2:2" x14ac:dyDescent="0.2">
      <c r="B140" s="62"/>
    </row>
    <row r="141" spans="2:2" x14ac:dyDescent="0.2">
      <c r="B141" s="62"/>
    </row>
    <row r="142" spans="2:2" x14ac:dyDescent="0.2">
      <c r="B142" s="62"/>
    </row>
    <row r="143" spans="2:2" x14ac:dyDescent="0.2">
      <c r="B143" s="62"/>
    </row>
    <row r="144" spans="2:2" x14ac:dyDescent="0.2">
      <c r="B144" s="62"/>
    </row>
    <row r="145" spans="2:2" x14ac:dyDescent="0.2">
      <c r="B145" s="62"/>
    </row>
    <row r="146" spans="2:2" x14ac:dyDescent="0.2">
      <c r="B146" s="62"/>
    </row>
    <row r="147" spans="2:2" x14ac:dyDescent="0.2">
      <c r="B147" s="62"/>
    </row>
    <row r="148" spans="2:2" x14ac:dyDescent="0.2">
      <c r="B148" s="62"/>
    </row>
    <row r="149" spans="2:2" x14ac:dyDescent="0.2">
      <c r="B149" s="62"/>
    </row>
    <row r="150" spans="2:2" x14ac:dyDescent="0.2">
      <c r="B150" s="62"/>
    </row>
    <row r="151" spans="2:2" x14ac:dyDescent="0.2">
      <c r="B151" s="62"/>
    </row>
    <row r="152" spans="2:2" x14ac:dyDescent="0.2">
      <c r="B152" s="62"/>
    </row>
    <row r="153" spans="2:2" x14ac:dyDescent="0.2">
      <c r="B153" s="62"/>
    </row>
    <row r="154" spans="2:2" x14ac:dyDescent="0.2">
      <c r="B154" s="62"/>
    </row>
    <row r="155" spans="2:2" x14ac:dyDescent="0.2">
      <c r="B155" s="62"/>
    </row>
    <row r="156" spans="2:2" x14ac:dyDescent="0.2">
      <c r="B156" s="62"/>
    </row>
    <row r="157" spans="2:2" x14ac:dyDescent="0.2">
      <c r="B157" s="62"/>
    </row>
    <row r="158" spans="2:2" x14ac:dyDescent="0.2">
      <c r="B158" s="62"/>
    </row>
    <row r="159" spans="2:2" x14ac:dyDescent="0.2">
      <c r="B159" s="62"/>
    </row>
    <row r="160" spans="2:2" x14ac:dyDescent="0.2">
      <c r="B160" s="62"/>
    </row>
    <row r="161" spans="2:2" x14ac:dyDescent="0.2">
      <c r="B161" s="62"/>
    </row>
    <row r="162" spans="2:2" x14ac:dyDescent="0.2">
      <c r="B162" s="62"/>
    </row>
    <row r="163" spans="2:2" x14ac:dyDescent="0.2">
      <c r="B163" s="62"/>
    </row>
    <row r="164" spans="2:2" x14ac:dyDescent="0.2">
      <c r="B164" s="62"/>
    </row>
    <row r="165" spans="2:2" x14ac:dyDescent="0.2">
      <c r="B165" s="62"/>
    </row>
    <row r="166" spans="2:2" x14ac:dyDescent="0.2">
      <c r="B166" s="62"/>
    </row>
    <row r="167" spans="2:2" x14ac:dyDescent="0.2">
      <c r="B167" s="62"/>
    </row>
    <row r="168" spans="2:2" x14ac:dyDescent="0.2">
      <c r="B168" s="62"/>
    </row>
    <row r="169" spans="2:2" x14ac:dyDescent="0.2">
      <c r="B169" s="62"/>
    </row>
    <row r="170" spans="2:2" x14ac:dyDescent="0.2">
      <c r="B170" s="62"/>
    </row>
    <row r="171" spans="2:2" x14ac:dyDescent="0.2">
      <c r="B171" s="62"/>
    </row>
    <row r="172" spans="2:2" x14ac:dyDescent="0.2">
      <c r="B172" s="62"/>
    </row>
    <row r="173" spans="2:2" x14ac:dyDescent="0.2">
      <c r="B173" s="62"/>
    </row>
    <row r="174" spans="2:2" x14ac:dyDescent="0.2">
      <c r="B174" s="62"/>
    </row>
    <row r="175" spans="2:2" x14ac:dyDescent="0.2">
      <c r="B175" s="62"/>
    </row>
    <row r="176" spans="2:2" x14ac:dyDescent="0.2">
      <c r="B176" s="62"/>
    </row>
    <row r="177" spans="2:2" x14ac:dyDescent="0.2">
      <c r="B177" s="62"/>
    </row>
    <row r="178" spans="2:2" x14ac:dyDescent="0.2">
      <c r="B178" s="62"/>
    </row>
    <row r="179" spans="2:2" x14ac:dyDescent="0.2">
      <c r="B179" s="62"/>
    </row>
    <row r="180" spans="2:2" x14ac:dyDescent="0.2">
      <c r="B180" s="62"/>
    </row>
    <row r="181" spans="2:2" x14ac:dyDescent="0.2">
      <c r="B181" s="62"/>
    </row>
    <row r="182" spans="2:2" x14ac:dyDescent="0.2">
      <c r="B182" s="62"/>
    </row>
    <row r="183" spans="2:2" x14ac:dyDescent="0.2">
      <c r="B183" s="62"/>
    </row>
    <row r="184" spans="2:2" x14ac:dyDescent="0.2">
      <c r="B184" s="62"/>
    </row>
    <row r="185" spans="2:2" x14ac:dyDescent="0.2">
      <c r="B185" s="62"/>
    </row>
    <row r="186" spans="2:2" x14ac:dyDescent="0.2">
      <c r="B186" s="62"/>
    </row>
    <row r="187" spans="2:2" x14ac:dyDescent="0.2">
      <c r="B187" s="62"/>
    </row>
    <row r="188" spans="2:2" x14ac:dyDescent="0.2">
      <c r="B188" s="62"/>
    </row>
    <row r="189" spans="2:2" x14ac:dyDescent="0.2">
      <c r="B189" s="62"/>
    </row>
    <row r="190" spans="2:2" x14ac:dyDescent="0.2">
      <c r="B190" s="62"/>
    </row>
    <row r="191" spans="2:2" x14ac:dyDescent="0.2">
      <c r="B191" s="62"/>
    </row>
    <row r="192" spans="2:2" x14ac:dyDescent="0.2">
      <c r="B192" s="62"/>
    </row>
    <row r="193" spans="2:2" x14ac:dyDescent="0.2">
      <c r="B193" s="62"/>
    </row>
    <row r="194" spans="2:2" x14ac:dyDescent="0.2">
      <c r="B194" s="62"/>
    </row>
    <row r="195" spans="2:2" x14ac:dyDescent="0.2">
      <c r="B195" s="62"/>
    </row>
    <row r="196" spans="2:2" x14ac:dyDescent="0.2">
      <c r="B196" s="62"/>
    </row>
    <row r="197" spans="2:2" x14ac:dyDescent="0.2">
      <c r="B197" s="62"/>
    </row>
    <row r="198" spans="2:2" x14ac:dyDescent="0.2">
      <c r="B198" s="62"/>
    </row>
    <row r="199" spans="2:2" x14ac:dyDescent="0.2">
      <c r="B199" s="62"/>
    </row>
    <row r="200" spans="2:2" x14ac:dyDescent="0.2">
      <c r="B200" s="62"/>
    </row>
    <row r="201" spans="2:2" x14ac:dyDescent="0.2">
      <c r="B201" s="62"/>
    </row>
    <row r="202" spans="2:2" x14ac:dyDescent="0.2">
      <c r="B202" s="62"/>
    </row>
    <row r="203" spans="2:2" x14ac:dyDescent="0.2">
      <c r="B203" s="62"/>
    </row>
    <row r="204" spans="2:2" x14ac:dyDescent="0.2">
      <c r="B204" s="62"/>
    </row>
    <row r="205" spans="2:2" x14ac:dyDescent="0.2">
      <c r="B205" s="62"/>
    </row>
  </sheetData>
  <mergeCells count="3">
    <mergeCell ref="B1:G1"/>
    <mergeCell ref="B4:C4"/>
    <mergeCell ref="B13:G13"/>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DCF60D-B594-E94D-AE29-7AB2D474D962}">
  <sheetPr>
    <tabColor rgb="FF7F4B30"/>
  </sheetPr>
  <dimension ref="B1:J221"/>
  <sheetViews>
    <sheetView showGridLines="0" showRowColHeaders="0" topLeftCell="B1" zoomScale="120" zoomScaleNormal="120" workbookViewId="0">
      <selection activeCell="E4" sqref="E4"/>
    </sheetView>
  </sheetViews>
  <sheetFormatPr baseColWidth="10" defaultRowHeight="16" x14ac:dyDescent="0.2"/>
  <cols>
    <col min="1" max="1" width="5.83203125" customWidth="1"/>
    <col min="2" max="2" width="25.83203125" customWidth="1"/>
    <col min="3" max="9" width="30.83203125" customWidth="1"/>
    <col min="10" max="10" width="26" bestFit="1" customWidth="1"/>
  </cols>
  <sheetData>
    <row r="1" spans="2:10" ht="47" x14ac:dyDescent="0.2">
      <c r="B1" s="188" t="s">
        <v>211</v>
      </c>
      <c r="C1" s="189"/>
      <c r="D1" s="189"/>
      <c r="E1" s="189"/>
      <c r="F1" s="3"/>
      <c r="G1" s="3"/>
      <c r="H1" s="3"/>
      <c r="I1" s="3"/>
      <c r="J1" s="3"/>
    </row>
    <row r="2" spans="2:10" ht="20" customHeight="1" x14ac:dyDescent="0.2">
      <c r="B2" s="84" t="str">
        <f>'Client Profile'!B2</f>
        <v>Christopher Miller</v>
      </c>
      <c r="C2" s="85" t="str">
        <f>'Client Profile'!C2</f>
        <v>September 2026</v>
      </c>
      <c r="D2" s="86"/>
      <c r="E2" s="83"/>
      <c r="F2" s="3"/>
      <c r="G2" s="3"/>
      <c r="H2" s="3"/>
      <c r="I2" s="3"/>
      <c r="J2" s="3"/>
    </row>
    <row r="3" spans="2:10" ht="5" customHeight="1" x14ac:dyDescent="0.2">
      <c r="D3" s="4"/>
      <c r="F3" s="4"/>
      <c r="G3" s="4"/>
      <c r="H3" s="4"/>
      <c r="I3" s="4"/>
      <c r="J3" s="4"/>
    </row>
    <row r="4" spans="2:10" ht="40" customHeight="1" x14ac:dyDescent="0.2">
      <c r="B4" s="190" t="s">
        <v>145</v>
      </c>
      <c r="C4" s="191"/>
    </row>
    <row r="5" spans="2:10" ht="20" customHeight="1" x14ac:dyDescent="0.25">
      <c r="B5" s="106" t="s">
        <v>142</v>
      </c>
      <c r="C5" s="107" t="s">
        <v>94</v>
      </c>
    </row>
    <row r="6" spans="2:10" ht="20" customHeight="1" x14ac:dyDescent="0.2">
      <c r="B6" s="106" t="s">
        <v>143</v>
      </c>
      <c r="C6" s="108">
        <v>34650</v>
      </c>
    </row>
    <row r="7" spans="2:10" ht="20" customHeight="1" x14ac:dyDescent="0.2">
      <c r="B7" s="106" t="s">
        <v>40</v>
      </c>
      <c r="C7" s="108">
        <f>'Financial Position'!F23</f>
        <v>765</v>
      </c>
    </row>
    <row r="8" spans="2:10" ht="20" customHeight="1" x14ac:dyDescent="0.2">
      <c r="B8" s="106" t="s">
        <v>144</v>
      </c>
      <c r="C8" s="108">
        <f>'Cash-Flow &amp; Budget'!C27</f>
        <v>150</v>
      </c>
      <c r="H8" s="15"/>
    </row>
    <row r="9" spans="2:10" ht="20" customHeight="1" x14ac:dyDescent="0.2">
      <c r="B9" s="106" t="s">
        <v>245</v>
      </c>
      <c r="C9" s="108">
        <f>'Cash-Flow &amp; Budget'!C27+'Financial Position'!F23</f>
        <v>915</v>
      </c>
      <c r="H9" s="11"/>
    </row>
    <row r="10" spans="2:10" ht="20" customHeight="1" x14ac:dyDescent="0.25">
      <c r="B10" s="106" t="s">
        <v>146</v>
      </c>
      <c r="C10" s="109" t="str">
        <f>C31</f>
        <v>January 2030</v>
      </c>
    </row>
    <row r="11" spans="2:10" ht="20" customHeight="1" x14ac:dyDescent="0.2">
      <c r="B11" s="106" t="s">
        <v>147</v>
      </c>
      <c r="C11" s="108">
        <f>SUM(H35:H75)</f>
        <v>6612.7537944448513</v>
      </c>
    </row>
    <row r="12" spans="2:10" ht="20" customHeight="1" x14ac:dyDescent="0.2"/>
    <row r="13" spans="2:10" ht="30" customHeight="1" x14ac:dyDescent="0.2">
      <c r="B13" s="192" t="s">
        <v>148</v>
      </c>
      <c r="C13" s="193"/>
      <c r="D13" s="193"/>
      <c r="E13" s="193"/>
      <c r="F13" s="193"/>
      <c r="G13" s="193"/>
      <c r="H13" s="193"/>
      <c r="I13" s="194"/>
    </row>
    <row r="14" spans="2:10" ht="25" customHeight="1" x14ac:dyDescent="0.3">
      <c r="B14" s="87" t="s">
        <v>37</v>
      </c>
      <c r="C14" s="88" t="s">
        <v>41</v>
      </c>
      <c r="D14" s="88" t="s">
        <v>149</v>
      </c>
      <c r="E14" s="88" t="s">
        <v>42</v>
      </c>
      <c r="F14" s="88" t="s">
        <v>44</v>
      </c>
      <c r="G14" s="88" t="s">
        <v>43</v>
      </c>
      <c r="H14" s="88" t="s">
        <v>150</v>
      </c>
      <c r="I14" s="89" t="s">
        <v>151</v>
      </c>
    </row>
    <row r="15" spans="2:10" ht="20" customHeight="1" x14ac:dyDescent="0.2">
      <c r="B15" s="106" t="str">
        <f>'Financial Position'!B18</f>
        <v>Credit Card</v>
      </c>
      <c r="C15" s="110" t="str">
        <f>'Financial Position'!C18</f>
        <v>Chase</v>
      </c>
      <c r="D15" s="111">
        <v>1</v>
      </c>
      <c r="E15" s="112">
        <f>'Financial Position'!D18</f>
        <v>5400</v>
      </c>
      <c r="F15" s="113">
        <f>'Financial Position'!E18</f>
        <v>0.27239999999999998</v>
      </c>
      <c r="G15" s="112">
        <f>'Financial Position'!F18</f>
        <v>165</v>
      </c>
      <c r="H15" s="112">
        <v>150</v>
      </c>
      <c r="I15" s="108">
        <f>G15+H15</f>
        <v>315</v>
      </c>
    </row>
    <row r="16" spans="2:10" ht="20" customHeight="1" x14ac:dyDescent="0.2">
      <c r="B16" s="106" t="str">
        <f>'Financial Position'!B19</f>
        <v>Credit Card</v>
      </c>
      <c r="C16" s="110" t="str">
        <f>'Financial Position'!C19</f>
        <v>Discover</v>
      </c>
      <c r="D16" s="111">
        <v>2</v>
      </c>
      <c r="E16" s="112">
        <f>'Financial Position'!D19</f>
        <v>3100</v>
      </c>
      <c r="F16" s="113">
        <f>'Financial Position'!E19</f>
        <v>0.24990000000000001</v>
      </c>
      <c r="G16" s="112">
        <f>'Financial Position'!F19</f>
        <v>95</v>
      </c>
      <c r="H16" s="112">
        <v>0</v>
      </c>
      <c r="I16" s="108">
        <f t="shared" ref="I16:I19" si="0">G16+H16</f>
        <v>95</v>
      </c>
    </row>
    <row r="17" spans="2:9" ht="20" customHeight="1" x14ac:dyDescent="0.2">
      <c r="B17" s="106" t="str">
        <f>'Financial Position'!B20</f>
        <v>Credit Card</v>
      </c>
      <c r="C17" s="110" t="str">
        <f>'Financial Position'!C20</f>
        <v>Capital One</v>
      </c>
      <c r="D17" s="111">
        <v>3</v>
      </c>
      <c r="E17" s="112">
        <f>'Financial Position'!D20</f>
        <v>1850</v>
      </c>
      <c r="F17" s="113">
        <f>'Financial Position'!E20</f>
        <v>0.22989999999999999</v>
      </c>
      <c r="G17" s="112">
        <f>'Financial Position'!F20</f>
        <v>60</v>
      </c>
      <c r="H17" s="112">
        <v>0</v>
      </c>
      <c r="I17" s="108">
        <f t="shared" si="0"/>
        <v>60</v>
      </c>
    </row>
    <row r="18" spans="2:9" ht="20" customHeight="1" x14ac:dyDescent="0.2">
      <c r="B18" s="106" t="str">
        <f>'Financial Position'!B22</f>
        <v>Auto Loan</v>
      </c>
      <c r="C18" s="110" t="str">
        <f>'Financial Position'!C22</f>
        <v>Wells Fargo</v>
      </c>
      <c r="D18" s="111">
        <v>4</v>
      </c>
      <c r="E18" s="112">
        <f>'Financial Position'!D22</f>
        <v>9800</v>
      </c>
      <c r="F18" s="114">
        <f>'Financial Position'!E22</f>
        <v>6.4899999999999999E-2</v>
      </c>
      <c r="G18" s="112">
        <f>'Financial Position'!F22</f>
        <v>285</v>
      </c>
      <c r="H18" s="112">
        <v>0</v>
      </c>
      <c r="I18" s="108">
        <f t="shared" si="0"/>
        <v>285</v>
      </c>
    </row>
    <row r="19" spans="2:9" ht="20" customHeight="1" x14ac:dyDescent="0.2">
      <c r="B19" s="106" t="str">
        <f>'Financial Position'!B21</f>
        <v>Student Loan</v>
      </c>
      <c r="C19" s="110" t="str">
        <f>'Financial Position'!C21</f>
        <v>Aidvantage</v>
      </c>
      <c r="D19" s="111">
        <v>5</v>
      </c>
      <c r="E19" s="112">
        <f>'Financial Position'!D21</f>
        <v>14500</v>
      </c>
      <c r="F19" s="113">
        <f>'Financial Position'!E21</f>
        <v>5.2499999999999998E-2</v>
      </c>
      <c r="G19" s="112">
        <f>'Financial Position'!F21</f>
        <v>160</v>
      </c>
      <c r="H19" s="112">
        <v>0</v>
      </c>
      <c r="I19" s="108">
        <f t="shared" si="0"/>
        <v>160</v>
      </c>
    </row>
    <row r="20" spans="2:9" ht="25" customHeight="1" x14ac:dyDescent="0.2">
      <c r="B20" s="90" t="s">
        <v>152</v>
      </c>
      <c r="C20" s="91"/>
      <c r="D20" s="91"/>
      <c r="E20" s="92">
        <f>SUM(E15:E19)</f>
        <v>34650</v>
      </c>
      <c r="F20" s="93"/>
      <c r="G20" s="92">
        <f>SUM(G15:G19)</f>
        <v>765</v>
      </c>
      <c r="H20" s="92">
        <f>SUM(H15:H19)</f>
        <v>150</v>
      </c>
      <c r="I20" s="94">
        <f>SUM(I15:I19)</f>
        <v>915</v>
      </c>
    </row>
    <row r="21" spans="2:9" ht="20" customHeight="1" x14ac:dyDescent="0.2"/>
    <row r="22" spans="2:9" ht="30" customHeight="1" x14ac:dyDescent="0.2">
      <c r="B22" s="192" t="s">
        <v>153</v>
      </c>
      <c r="C22" s="193"/>
      <c r="D22" s="194"/>
      <c r="G22" s="11"/>
    </row>
    <row r="23" spans="2:9" ht="25" customHeight="1" x14ac:dyDescent="0.3">
      <c r="B23" s="95" t="s">
        <v>155</v>
      </c>
      <c r="C23" s="96" t="s">
        <v>156</v>
      </c>
      <c r="D23" s="97" t="s">
        <v>207</v>
      </c>
    </row>
    <row r="24" spans="2:9" ht="20" customHeight="1" x14ac:dyDescent="0.25">
      <c r="B24" s="106" t="s">
        <v>157</v>
      </c>
      <c r="C24" s="115" t="str">
        <f>B49</f>
        <v>November 2027</v>
      </c>
      <c r="D24" s="100">
        <f>I35*0.75</f>
        <v>25987.5</v>
      </c>
    </row>
    <row r="25" spans="2:9" ht="20" customHeight="1" x14ac:dyDescent="0.25">
      <c r="B25" s="106" t="s">
        <v>154</v>
      </c>
      <c r="C25" s="115" t="str">
        <f>B57</f>
        <v>July 2028</v>
      </c>
      <c r="D25" s="100">
        <f>I57</f>
        <v>20117.746448642163</v>
      </c>
    </row>
    <row r="26" spans="2:9" ht="20" customHeight="1" x14ac:dyDescent="0.25">
      <c r="B26" s="106" t="s">
        <v>158</v>
      </c>
      <c r="C26" s="115" t="str">
        <f>B61</f>
        <v>November 2028</v>
      </c>
      <c r="D26" s="100">
        <f>I35*0.5</f>
        <v>17325</v>
      </c>
    </row>
    <row r="27" spans="2:9" ht="20" customHeight="1" x14ac:dyDescent="0.25">
      <c r="B27" s="106" t="s">
        <v>208</v>
      </c>
      <c r="C27" s="115" t="str">
        <f>B61</f>
        <v>November 2028</v>
      </c>
      <c r="D27" s="100">
        <f>I63</f>
        <v>14437.094421514175</v>
      </c>
    </row>
    <row r="28" spans="2:9" ht="20" customHeight="1" x14ac:dyDescent="0.25">
      <c r="B28" s="106" t="s">
        <v>209</v>
      </c>
      <c r="C28" s="115" t="str">
        <f>B63</f>
        <v>January 2029</v>
      </c>
      <c r="D28" s="100">
        <f>I66</f>
        <v>11301.54964776401</v>
      </c>
    </row>
    <row r="29" spans="2:9" ht="20" customHeight="1" x14ac:dyDescent="0.25">
      <c r="B29" s="106" t="s">
        <v>210</v>
      </c>
      <c r="C29" s="116" t="str">
        <f>B66</f>
        <v>April 2029</v>
      </c>
      <c r="D29" s="100">
        <f>I69</f>
        <v>6079.3084304721342</v>
      </c>
    </row>
    <row r="30" spans="2:9" ht="20" customHeight="1" x14ac:dyDescent="0.25">
      <c r="B30" s="106" t="s">
        <v>159</v>
      </c>
      <c r="C30" s="115" t="str">
        <f>B72</f>
        <v>October 2029</v>
      </c>
      <c r="D30" s="100">
        <f>I35*0.25</f>
        <v>8662.5</v>
      </c>
    </row>
    <row r="31" spans="2:9" ht="20" customHeight="1" x14ac:dyDescent="0.25">
      <c r="B31" s="106" t="s">
        <v>160</v>
      </c>
      <c r="C31" s="115" t="str">
        <f>B75</f>
        <v>January 2030</v>
      </c>
      <c r="D31" s="100">
        <f>I75</f>
        <v>0</v>
      </c>
    </row>
    <row r="32" spans="2:9" ht="20" customHeight="1" x14ac:dyDescent="0.2"/>
    <row r="33" spans="2:9" ht="30" customHeight="1" x14ac:dyDescent="0.2">
      <c r="B33" s="192" t="s">
        <v>39</v>
      </c>
      <c r="C33" s="193"/>
      <c r="D33" s="193"/>
      <c r="E33" s="193"/>
      <c r="F33" s="193"/>
      <c r="G33" s="193"/>
      <c r="H33" s="193"/>
      <c r="I33" s="194"/>
    </row>
    <row r="34" spans="2:9" ht="25" customHeight="1" x14ac:dyDescent="0.3">
      <c r="B34" s="87" t="s">
        <v>163</v>
      </c>
      <c r="C34" s="88" t="s">
        <v>164</v>
      </c>
      <c r="D34" s="88" t="s">
        <v>165</v>
      </c>
      <c r="E34" s="88" t="s">
        <v>166</v>
      </c>
      <c r="F34" s="88" t="s">
        <v>167</v>
      </c>
      <c r="G34" s="88" t="s">
        <v>168</v>
      </c>
      <c r="H34" s="88" t="s">
        <v>212</v>
      </c>
      <c r="I34" s="89" t="s">
        <v>207</v>
      </c>
    </row>
    <row r="35" spans="2:9" ht="20" customHeight="1" x14ac:dyDescent="0.25">
      <c r="B35" s="103" t="s">
        <v>114</v>
      </c>
      <c r="C35" s="112">
        <v>5400</v>
      </c>
      <c r="D35" s="117">
        <v>3100</v>
      </c>
      <c r="E35" s="117">
        <v>1850</v>
      </c>
      <c r="F35" s="117">
        <v>9800</v>
      </c>
      <c r="G35" s="117">
        <v>14500</v>
      </c>
      <c r="H35" s="117">
        <f>SUM((C35*($F$15/12))+(D35*($F$16/12))+(E35*($F$17/12))+(F35*($F$18/12))+(G35*($F$19/12)))</f>
        <v>339.01958333333334</v>
      </c>
      <c r="I35" s="118">
        <f>SUM(C35:G35)</f>
        <v>34650</v>
      </c>
    </row>
    <row r="36" spans="2:9" ht="20" customHeight="1" x14ac:dyDescent="0.25">
      <c r="B36" s="103" t="s">
        <v>169</v>
      </c>
      <c r="C36" s="112">
        <f>MAX(0,C35*(1+$F$15/12)-($I$15))</f>
        <v>5207.58</v>
      </c>
      <c r="D36" s="112">
        <f>MAX(0,D35*(1+$F$16/12)-($I$16))</f>
        <v>3069.5575000000003</v>
      </c>
      <c r="E36" s="112">
        <f>MAX(0,E35*(1+$F$17/12)-($I$17))</f>
        <v>1825.4429166666669</v>
      </c>
      <c r="F36" s="112">
        <f>MAX(0,F35*(1+$F$18/12)-($I$18))</f>
        <v>9568.0016666666652</v>
      </c>
      <c r="G36" s="112">
        <f>MAX(0,G35*(1+$F$19/12)-($I$19))</f>
        <v>14403.4375</v>
      </c>
      <c r="H36" s="117">
        <f>SUM((C36*($F$15/12))+(D36*($F$16/12))+(E36*($F$17/12))+(F36*($F$18/12))+(G36*($F$19/12)))</f>
        <v>331.87002622569446</v>
      </c>
      <c r="I36" s="118">
        <f t="shared" ref="I36:I75" si="1">SUM(C36:G36)</f>
        <v>34074.019583333335</v>
      </c>
    </row>
    <row r="37" spans="2:9" ht="20" customHeight="1" x14ac:dyDescent="0.25">
      <c r="B37" s="103" t="s">
        <v>170</v>
      </c>
      <c r="C37" s="112">
        <f t="shared" ref="C37:C75" si="2">MAX(0,C36*(1+$F$15/12)-($I$15))</f>
        <v>5010.792066</v>
      </c>
      <c r="D37" s="112">
        <f t="shared" ref="D37:D57" si="3">MAX(0,D36*(1+$F$16/12)-($I$16))</f>
        <v>3038.4810349375007</v>
      </c>
      <c r="E37" s="112">
        <f t="shared" ref="E37:E61" si="4">MAX(0,E36*(1+$F$17/12)-($I$17))</f>
        <v>1800.4153605451393</v>
      </c>
      <c r="F37" s="112">
        <f t="shared" ref="F37:F63" si="5">MAX(0,F36*(1+$F$18/12)-($I$18))</f>
        <v>9334.7486090138864</v>
      </c>
      <c r="G37" s="112">
        <f t="shared" ref="G37:G66" si="6">MAX(0,G36*(1+$F$19/12)-($I$19))</f>
        <v>14306.4525390625</v>
      </c>
      <c r="H37" s="117">
        <f t="shared" ref="H37:H75" si="7">SUM((C37*($F$15/12))+(D37*($F$16/12))+(E37*($F$17/12))+(F37*($F$18/12))+(G37*($F$19/12)))</f>
        <v>324.59046698536594</v>
      </c>
      <c r="I37" s="118">
        <f t="shared" si="1"/>
        <v>33490.889609559024</v>
      </c>
    </row>
    <row r="38" spans="2:9" ht="20" customHeight="1" x14ac:dyDescent="0.25">
      <c r="B38" s="103" t="s">
        <v>171</v>
      </c>
      <c r="C38" s="112">
        <f t="shared" si="2"/>
        <v>4809.5370458981997</v>
      </c>
      <c r="D38" s="112">
        <f t="shared" si="3"/>
        <v>3006.7574024900746</v>
      </c>
      <c r="E38" s="112">
        <f t="shared" si="4"/>
        <v>1774.9083181609167</v>
      </c>
      <c r="F38" s="112">
        <f t="shared" si="5"/>
        <v>9100.2340410743018</v>
      </c>
      <c r="G38" s="112">
        <f t="shared" si="6"/>
        <v>14209.043268920899</v>
      </c>
      <c r="H38" s="117">
        <f t="shared" si="7"/>
        <v>317.1781624511836</v>
      </c>
      <c r="I38" s="118">
        <f t="shared" si="1"/>
        <v>32900.480076544394</v>
      </c>
    </row>
    <row r="39" spans="2:9" ht="20" customHeight="1" x14ac:dyDescent="0.25">
      <c r="B39" s="103" t="s">
        <v>172</v>
      </c>
      <c r="C39" s="112">
        <f t="shared" si="2"/>
        <v>4603.7135368400886</v>
      </c>
      <c r="D39" s="112">
        <f t="shared" si="3"/>
        <v>2974.3731253969308</v>
      </c>
      <c r="E39" s="112">
        <f t="shared" si="4"/>
        <v>1748.9126033563496</v>
      </c>
      <c r="F39" s="112">
        <f t="shared" si="5"/>
        <v>8864.4511401797772</v>
      </c>
      <c r="G39" s="112">
        <f t="shared" si="6"/>
        <v>14111.207833222428</v>
      </c>
      <c r="H39" s="117">
        <f t="shared" si="7"/>
        <v>309.63030910211688</v>
      </c>
      <c r="I39" s="118">
        <f t="shared" si="1"/>
        <v>32302.658238995573</v>
      </c>
    </row>
    <row r="40" spans="2:9" ht="20" customHeight="1" x14ac:dyDescent="0.25">
      <c r="B40" s="103" t="s">
        <v>173</v>
      </c>
      <c r="C40" s="112">
        <f t="shared" si="2"/>
        <v>4393.217834126358</v>
      </c>
      <c r="D40" s="112">
        <f t="shared" si="3"/>
        <v>2941.3144457333224</v>
      </c>
      <c r="E40" s="112">
        <f t="shared" si="4"/>
        <v>1722.4188539823183</v>
      </c>
      <c r="F40" s="112">
        <f t="shared" si="5"/>
        <v>8627.3930467629161</v>
      </c>
      <c r="G40" s="112">
        <f t="shared" si="6"/>
        <v>14012.944367492777</v>
      </c>
      <c r="H40" s="117">
        <f t="shared" si="7"/>
        <v>301.944041713633</v>
      </c>
      <c r="I40" s="118">
        <f t="shared" si="1"/>
        <v>31697.288548097691</v>
      </c>
    </row>
    <row r="41" spans="2:9" ht="20" customHeight="1" x14ac:dyDescent="0.25">
      <c r="B41" s="105" t="s">
        <v>174</v>
      </c>
      <c r="C41" s="112">
        <f t="shared" si="2"/>
        <v>4177.9438789610258</v>
      </c>
      <c r="D41" s="112">
        <f t="shared" si="3"/>
        <v>2907.5673190657189</v>
      </c>
      <c r="E41" s="112">
        <f t="shared" si="4"/>
        <v>1695.4175285265296</v>
      </c>
      <c r="F41" s="112">
        <f t="shared" si="5"/>
        <v>8389.0528641574911</v>
      </c>
      <c r="G41" s="112">
        <f t="shared" si="6"/>
        <v>13914.250999100559</v>
      </c>
      <c r="H41" s="117">
        <f t="shared" si="7"/>
        <v>294.11643198402965</v>
      </c>
      <c r="I41" s="118">
        <f t="shared" si="1"/>
        <v>31084.232589811327</v>
      </c>
    </row>
    <row r="42" spans="2:9" ht="20" customHeight="1" x14ac:dyDescent="0.25">
      <c r="B42" s="105" t="s">
        <v>175</v>
      </c>
      <c r="C42" s="112">
        <f t="shared" si="2"/>
        <v>3957.7832050134411</v>
      </c>
      <c r="D42" s="112">
        <f t="shared" si="3"/>
        <v>2873.1174084852628</v>
      </c>
      <c r="E42" s="112">
        <f t="shared" si="4"/>
        <v>1667.8989026772172</v>
      </c>
      <c r="F42" s="112">
        <f t="shared" si="5"/>
        <v>8149.423658397809</v>
      </c>
      <c r="G42" s="112">
        <f t="shared" si="6"/>
        <v>13815.125847221625</v>
      </c>
      <c r="H42" s="117">
        <f t="shared" si="7"/>
        <v>286.14448713006448</v>
      </c>
      <c r="I42" s="118">
        <f t="shared" si="1"/>
        <v>30463.349021795355</v>
      </c>
    </row>
    <row r="43" spans="2:9" ht="20" customHeight="1" x14ac:dyDescent="0.25">
      <c r="B43" s="105" t="s">
        <v>176</v>
      </c>
      <c r="C43" s="112">
        <f t="shared" si="2"/>
        <v>3732.624883767246</v>
      </c>
      <c r="D43" s="112">
        <f t="shared" si="3"/>
        <v>2837.9500785169685</v>
      </c>
      <c r="E43" s="112">
        <f t="shared" si="4"/>
        <v>1639.8530658210084</v>
      </c>
      <c r="F43" s="112">
        <f t="shared" si="5"/>
        <v>7908.4984580169767</v>
      </c>
      <c r="G43" s="112">
        <f t="shared" si="6"/>
        <v>13715.56702280322</v>
      </c>
      <c r="H43" s="117">
        <f t="shared" si="7"/>
        <v>278.02514845119242</v>
      </c>
      <c r="I43" s="118">
        <f t="shared" si="1"/>
        <v>29834.493508925421</v>
      </c>
    </row>
    <row r="44" spans="2:9" ht="20" customHeight="1" x14ac:dyDescent="0.25">
      <c r="B44" s="105" t="s">
        <v>177</v>
      </c>
      <c r="C44" s="112">
        <f t="shared" si="2"/>
        <v>3502.3554686287625</v>
      </c>
      <c r="D44" s="112">
        <f t="shared" si="3"/>
        <v>2802.0503889020847</v>
      </c>
      <c r="E44" s="112">
        <f t="shared" si="4"/>
        <v>1611.2699174736961</v>
      </c>
      <c r="F44" s="112">
        <f t="shared" si="5"/>
        <v>7666.2702538440844</v>
      </c>
      <c r="G44" s="112">
        <f t="shared" si="6"/>
        <v>13615.572628527983</v>
      </c>
      <c r="H44" s="117">
        <f t="shared" si="7"/>
        <v>269.75528986170906</v>
      </c>
      <c r="I44" s="118">
        <f t="shared" si="1"/>
        <v>29197.518657376611</v>
      </c>
    </row>
    <row r="45" spans="2:9" ht="20" customHeight="1" x14ac:dyDescent="0.25">
      <c r="B45" s="105" t="s">
        <v>161</v>
      </c>
      <c r="C45" s="112">
        <f t="shared" si="2"/>
        <v>3266.8589377666353</v>
      </c>
      <c r="D45" s="112">
        <f t="shared" si="3"/>
        <v>2765.403088250971</v>
      </c>
      <c r="E45" s="112">
        <f t="shared" si="4"/>
        <v>1582.1391636426297</v>
      </c>
      <c r="F45" s="112">
        <f t="shared" si="5"/>
        <v>7422.7319988002901</v>
      </c>
      <c r="G45" s="112">
        <f t="shared" si="6"/>
        <v>13515.140758777794</v>
      </c>
      <c r="H45" s="117">
        <f t="shared" si="7"/>
        <v>261.3317163900802</v>
      </c>
      <c r="I45" s="118">
        <f t="shared" si="1"/>
        <v>28552.273947238318</v>
      </c>
    </row>
    <row r="46" spans="2:9" ht="20" customHeight="1" x14ac:dyDescent="0.25">
      <c r="B46" s="105" t="s">
        <v>178</v>
      </c>
      <c r="C46" s="112">
        <f t="shared" si="2"/>
        <v>3026.0166356539376</v>
      </c>
      <c r="D46" s="112">
        <f t="shared" si="3"/>
        <v>2727.9926075637977</v>
      </c>
      <c r="E46" s="112">
        <f t="shared" si="4"/>
        <v>1552.4503131194165</v>
      </c>
      <c r="F46" s="112">
        <f t="shared" si="5"/>
        <v>7177.8766076938009</v>
      </c>
      <c r="G46" s="112">
        <f t="shared" si="6"/>
        <v>13414.269499597447</v>
      </c>
      <c r="H46" s="117">
        <f t="shared" si="7"/>
        <v>252.75116264472274</v>
      </c>
      <c r="I46" s="118">
        <f t="shared" si="1"/>
        <v>27898.605663628397</v>
      </c>
    </row>
    <row r="47" spans="2:9" ht="20" customHeight="1" x14ac:dyDescent="0.25">
      <c r="B47" s="105" t="s">
        <v>179</v>
      </c>
      <c r="C47" s="112">
        <f t="shared" si="2"/>
        <v>2779.7072132832818</v>
      </c>
      <c r="D47" s="112">
        <f t="shared" si="3"/>
        <v>2689.8030536163142</v>
      </c>
      <c r="E47" s="112">
        <f t="shared" si="4"/>
        <v>1522.192673701596</v>
      </c>
      <c r="F47" s="112">
        <f t="shared" si="5"/>
        <v>6931.6969570137444</v>
      </c>
      <c r="G47" s="112">
        <f t="shared" si="6"/>
        <v>13312.956928658186</v>
      </c>
      <c r="H47" s="117">
        <f t="shared" si="7"/>
        <v>244.01029124548552</v>
      </c>
      <c r="I47" s="118">
        <f t="shared" si="1"/>
        <v>27236.356826273121</v>
      </c>
    </row>
    <row r="48" spans="2:9" ht="20" customHeight="1" x14ac:dyDescent="0.25">
      <c r="B48" s="103" t="s">
        <v>180</v>
      </c>
      <c r="C48" s="112">
        <f t="shared" si="2"/>
        <v>2527.806567024812</v>
      </c>
      <c r="D48" s="112">
        <f t="shared" si="3"/>
        <v>2650.818202207874</v>
      </c>
      <c r="E48" s="112">
        <f t="shared" si="4"/>
        <v>1491.3553483419291</v>
      </c>
      <c r="F48" s="112">
        <f t="shared" si="5"/>
        <v>6684.1858847229259</v>
      </c>
      <c r="G48" s="112">
        <f t="shared" si="6"/>
        <v>13211.201115221065</v>
      </c>
      <c r="H48" s="117">
        <f t="shared" si="7"/>
        <v>235.10569122006166</v>
      </c>
      <c r="I48" s="118">
        <f t="shared" si="1"/>
        <v>26565.367117518606</v>
      </c>
    </row>
    <row r="49" spans="2:9" ht="20" customHeight="1" x14ac:dyDescent="0.25">
      <c r="B49" s="103" t="s">
        <v>181</v>
      </c>
      <c r="C49" s="112">
        <f t="shared" si="2"/>
        <v>2270.1877760962752</v>
      </c>
      <c r="D49" s="112">
        <f t="shared" si="3"/>
        <v>2611.0214912688534</v>
      </c>
      <c r="E49" s="112">
        <f t="shared" si="4"/>
        <v>1459.9272312239134</v>
      </c>
      <c r="F49" s="112">
        <f t="shared" si="5"/>
        <v>6435.3361900494683</v>
      </c>
      <c r="G49" s="112">
        <f t="shared" si="6"/>
        <v>13109.000120100158</v>
      </c>
      <c r="H49" s="117">
        <f t="shared" si="7"/>
        <v>226.0338763645465</v>
      </c>
      <c r="I49" s="118">
        <f t="shared" si="1"/>
        <v>25885.472808738668</v>
      </c>
    </row>
    <row r="50" spans="2:9" ht="20" customHeight="1" x14ac:dyDescent="0.25">
      <c r="B50" s="119" t="s">
        <v>182</v>
      </c>
      <c r="C50" s="120">
        <f t="shared" si="2"/>
        <v>2006.7210386136608</v>
      </c>
      <c r="D50" s="120">
        <f t="shared" si="3"/>
        <v>2570.3960138245275</v>
      </c>
      <c r="E50" s="120">
        <f t="shared" si="4"/>
        <v>1427.8970037621116</v>
      </c>
      <c r="F50" s="120">
        <f t="shared" si="5"/>
        <v>6185.1406332773186</v>
      </c>
      <c r="G50" s="120">
        <f t="shared" si="6"/>
        <v>13006.351995625597</v>
      </c>
      <c r="H50" s="117">
        <f t="shared" si="7"/>
        <v>216.7912835673385</v>
      </c>
      <c r="I50" s="118">
        <f t="shared" si="1"/>
        <v>25196.506685103217</v>
      </c>
    </row>
    <row r="51" spans="2:9" ht="20" customHeight="1" x14ac:dyDescent="0.25">
      <c r="B51" s="103" t="s">
        <v>183</v>
      </c>
      <c r="C51" s="112">
        <f t="shared" si="2"/>
        <v>1737.2736061901905</v>
      </c>
      <c r="D51" s="112">
        <f t="shared" si="3"/>
        <v>2528.9245108124237</v>
      </c>
      <c r="E51" s="112">
        <f t="shared" si="4"/>
        <v>1395.2531305258542</v>
      </c>
      <c r="F51" s="112">
        <f t="shared" si="5"/>
        <v>5933.5919355356264</v>
      </c>
      <c r="G51" s="112">
        <f t="shared" si="6"/>
        <v>12903.254785606459</v>
      </c>
      <c r="H51" s="117">
        <f t="shared" si="7"/>
        <v>207.37427109556063</v>
      </c>
      <c r="I51" s="118">
        <f t="shared" si="1"/>
        <v>24498.297968670555</v>
      </c>
    </row>
    <row r="52" spans="2:9" ht="20" customHeight="1" x14ac:dyDescent="0.25">
      <c r="B52" s="103" t="s">
        <v>184</v>
      </c>
      <c r="C52" s="112">
        <f t="shared" si="2"/>
        <v>1461.7097170507077</v>
      </c>
      <c r="D52" s="112">
        <f t="shared" si="3"/>
        <v>2486.5893637500926</v>
      </c>
      <c r="E52" s="112">
        <f t="shared" si="4"/>
        <v>1361.9838550848453</v>
      </c>
      <c r="F52" s="112">
        <f t="shared" si="5"/>
        <v>5680.6827785869809</v>
      </c>
      <c r="G52" s="112">
        <f t="shared" si="6"/>
        <v>12799.706525293488</v>
      </c>
      <c r="H52" s="117">
        <f t="shared" si="7"/>
        <v>197.77911684316416</v>
      </c>
      <c r="I52" s="118">
        <f t="shared" si="1"/>
        <v>23790.672239766114</v>
      </c>
    </row>
    <row r="53" spans="2:9" ht="20" customHeight="1" x14ac:dyDescent="0.25">
      <c r="B53" s="105" t="s">
        <v>185</v>
      </c>
      <c r="C53" s="112">
        <f t="shared" si="2"/>
        <v>1179.8905276277587</v>
      </c>
      <c r="D53" s="112">
        <f t="shared" si="3"/>
        <v>2443.3725872501886</v>
      </c>
      <c r="E53" s="112">
        <f t="shared" si="4"/>
        <v>1328.0771957751792</v>
      </c>
      <c r="F53" s="112">
        <f t="shared" si="5"/>
        <v>5426.4058046145046</v>
      </c>
      <c r="G53" s="112">
        <f t="shared" si="6"/>
        <v>12695.705241341648</v>
      </c>
      <c r="H53" s="117">
        <f t="shared" si="7"/>
        <v>188.00201653985459</v>
      </c>
      <c r="I53" s="118">
        <f t="shared" si="1"/>
        <v>23073.451356609279</v>
      </c>
    </row>
    <row r="54" spans="2:9" ht="20" customHeight="1" x14ac:dyDescent="0.25">
      <c r="B54" s="105" t="s">
        <v>186</v>
      </c>
      <c r="C54" s="112">
        <f t="shared" si="2"/>
        <v>891.67404260490889</v>
      </c>
      <c r="D54" s="112">
        <f t="shared" si="3"/>
        <v>2399.2558213796742</v>
      </c>
      <c r="E54" s="112">
        <f t="shared" si="4"/>
        <v>1293.5209413842388</v>
      </c>
      <c r="F54" s="112">
        <f t="shared" si="5"/>
        <v>5170.7536160077943</v>
      </c>
      <c r="G54" s="112">
        <f t="shared" si="6"/>
        <v>12591.248951772517</v>
      </c>
      <c r="H54" s="117">
        <f t="shared" si="7"/>
        <v>178.03908191996308</v>
      </c>
      <c r="I54" s="118">
        <f t="shared" si="1"/>
        <v>22346.453373149132</v>
      </c>
    </row>
    <row r="55" spans="2:9" ht="20" customHeight="1" x14ac:dyDescent="0.25">
      <c r="B55" s="105" t="s">
        <v>187</v>
      </c>
      <c r="C55" s="112">
        <f t="shared" si="2"/>
        <v>596.91504337204026</v>
      </c>
      <c r="D55" s="112">
        <f t="shared" si="3"/>
        <v>2354.2203238599063</v>
      </c>
      <c r="E55" s="112">
        <f t="shared" si="4"/>
        <v>1258.3026467529253</v>
      </c>
      <c r="F55" s="112">
        <f t="shared" si="5"/>
        <v>4913.7187751477022</v>
      </c>
      <c r="G55" s="112">
        <f t="shared" si="6"/>
        <v>12486.335665936522</v>
      </c>
      <c r="H55" s="117">
        <f t="shared" si="7"/>
        <v>167.88633885036543</v>
      </c>
      <c r="I55" s="118">
        <f t="shared" si="1"/>
        <v>21609.492455069096</v>
      </c>
    </row>
    <row r="56" spans="2:9" ht="20" customHeight="1" x14ac:dyDescent="0.25">
      <c r="B56" s="105" t="s">
        <v>188</v>
      </c>
      <c r="C56" s="112">
        <f t="shared" si="2"/>
        <v>295.46501485658553</v>
      </c>
      <c r="D56" s="112">
        <f t="shared" si="3"/>
        <v>2308.2469621042892</v>
      </c>
      <c r="E56" s="112">
        <f t="shared" si="4"/>
        <v>1222.4096282936334</v>
      </c>
      <c r="F56" s="112">
        <f t="shared" si="5"/>
        <v>4655.2938041899588</v>
      </c>
      <c r="G56" s="112">
        <f t="shared" si="6"/>
        <v>12380.963384474995</v>
      </c>
      <c r="H56" s="117">
        <f t="shared" si="7"/>
        <v>157.53972541653064</v>
      </c>
      <c r="I56" s="118">
        <f t="shared" si="1"/>
        <v>20862.378793919463</v>
      </c>
    </row>
    <row r="57" spans="2:9" ht="20" customHeight="1" x14ac:dyDescent="0.25">
      <c r="B57" s="105" t="s">
        <v>162</v>
      </c>
      <c r="C57" s="112">
        <f t="shared" si="2"/>
        <v>0</v>
      </c>
      <c r="D57" s="112">
        <f t="shared" si="3"/>
        <v>2261.3162050901115</v>
      </c>
      <c r="E57" s="112">
        <f t="shared" si="4"/>
        <v>1185.828959422359</v>
      </c>
      <c r="F57" s="112">
        <f t="shared" si="5"/>
        <v>4395.471184847619</v>
      </c>
      <c r="G57" s="112">
        <f t="shared" si="6"/>
        <v>12275.130099282074</v>
      </c>
      <c r="H57" s="117">
        <f t="shared" si="7"/>
        <v>147.28628396101155</v>
      </c>
      <c r="I57" s="118">
        <f t="shared" si="1"/>
        <v>20117.746448642163</v>
      </c>
    </row>
    <row r="58" spans="2:9" ht="20" customHeight="1" x14ac:dyDescent="0.25">
      <c r="B58" s="105" t="s">
        <v>189</v>
      </c>
      <c r="C58" s="112">
        <f t="shared" si="2"/>
        <v>0</v>
      </c>
      <c r="D58" s="112">
        <f>MAX(0,D57*(1+$F$16/12)-(SUM($I$15:$I$16)))</f>
        <v>1898.4081150611132</v>
      </c>
      <c r="E58" s="112">
        <f t="shared" si="4"/>
        <v>1148.5474659032925</v>
      </c>
      <c r="F58" s="112">
        <f t="shared" si="5"/>
        <v>4134.2433581723362</v>
      </c>
      <c r="G58" s="112">
        <f t="shared" si="6"/>
        <v>12168.833793466434</v>
      </c>
      <c r="H58" s="117">
        <f t="shared" si="7"/>
        <v>137.1366182056093</v>
      </c>
      <c r="I58" s="118">
        <f t="shared" si="1"/>
        <v>19350.032732603177</v>
      </c>
    </row>
    <row r="59" spans="2:9" ht="20" customHeight="1" x14ac:dyDescent="0.25">
      <c r="B59" s="105" t="s">
        <v>190</v>
      </c>
      <c r="C59" s="112">
        <f t="shared" si="2"/>
        <v>0</v>
      </c>
      <c r="D59" s="112">
        <f>MAX(0,D58*(1+$F$16/12)-(SUM($I$15:$I$16,500)))</f>
        <v>1027.9424640572611</v>
      </c>
      <c r="E59" s="112">
        <f t="shared" si="4"/>
        <v>1110.5517211042231</v>
      </c>
      <c r="F59" s="112">
        <f t="shared" si="5"/>
        <v>3871.6027243344515</v>
      </c>
      <c r="G59" s="112">
        <f t="shared" si="6"/>
        <v>12062.07244131285</v>
      </c>
      <c r="H59" s="117">
        <f t="shared" si="7"/>
        <v>116.39370686900008</v>
      </c>
      <c r="I59" s="118">
        <f t="shared" si="1"/>
        <v>18072.169350808785</v>
      </c>
    </row>
    <row r="60" spans="2:9" ht="20" customHeight="1" x14ac:dyDescent="0.25">
      <c r="B60" s="103" t="s">
        <v>191</v>
      </c>
      <c r="C60" s="112">
        <f t="shared" si="2"/>
        <v>0</v>
      </c>
      <c r="D60" s="112">
        <f>MAX(0,D59*(1+$F$16/12)-(SUM($I$15:$I$16,500)))</f>
        <v>139.34936587125367</v>
      </c>
      <c r="E60" s="112">
        <f t="shared" si="4"/>
        <v>1071.8280411610449</v>
      </c>
      <c r="F60" s="112">
        <f t="shared" si="5"/>
        <v>3607.5416424018931</v>
      </c>
      <c r="G60" s="112">
        <f t="shared" si="6"/>
        <v>11954.844008243594</v>
      </c>
      <c r="H60" s="117">
        <f t="shared" si="7"/>
        <v>95.24961968490183</v>
      </c>
      <c r="I60" s="118">
        <f t="shared" si="1"/>
        <v>16773.563057677784</v>
      </c>
    </row>
    <row r="61" spans="2:9" ht="20" customHeight="1" x14ac:dyDescent="0.25">
      <c r="B61" s="103" t="s">
        <v>192</v>
      </c>
      <c r="C61" s="112">
        <f t="shared" si="2"/>
        <v>0</v>
      </c>
      <c r="D61" s="112">
        <f>MAX(0,D60*(1+$F$16/12)-(SUM($I$15:$I$16,500)))</f>
        <v>0</v>
      </c>
      <c r="E61" s="112">
        <f t="shared" si="4"/>
        <v>1032.362480049622</v>
      </c>
      <c r="F61" s="112">
        <f t="shared" si="5"/>
        <v>3342.052430117883</v>
      </c>
      <c r="G61" s="112">
        <f t="shared" si="6"/>
        <v>11847.146450779659</v>
      </c>
      <c r="H61" s="117">
        <f t="shared" si="7"/>
        <v>89.684543795332559</v>
      </c>
      <c r="I61" s="118">
        <f t="shared" si="1"/>
        <v>16221.561360947164</v>
      </c>
    </row>
    <row r="62" spans="2:9" ht="20" customHeight="1" x14ac:dyDescent="0.25">
      <c r="B62" s="103" t="s">
        <v>193</v>
      </c>
      <c r="C62" s="112">
        <f t="shared" si="2"/>
        <v>0</v>
      </c>
      <c r="D62" s="112">
        <f t="shared" ref="D62:D75" si="8">MAX(0,D61*(1+$F$16/12)-(SUM($I$15:$I$16,500)))</f>
        <v>0</v>
      </c>
      <c r="E62" s="112">
        <f>MAX(0,E61*(1+$F$17/12)-(SUM(I15:I17,500)))</f>
        <v>82.140824563239448</v>
      </c>
      <c r="F62" s="112">
        <f t="shared" si="5"/>
        <v>3075.1273636774367</v>
      </c>
      <c r="G62" s="112">
        <f t="shared" si="6"/>
        <v>11738.97771650182</v>
      </c>
      <c r="H62" s="117">
        <f t="shared" si="7"/>
        <v>69.563022632174992</v>
      </c>
      <c r="I62" s="118">
        <f t="shared" si="1"/>
        <v>14896.245904742496</v>
      </c>
    </row>
    <row r="63" spans="2:9" ht="20" customHeight="1" x14ac:dyDescent="0.25">
      <c r="B63" s="103" t="s">
        <v>194</v>
      </c>
      <c r="C63" s="112">
        <f t="shared" si="2"/>
        <v>0</v>
      </c>
      <c r="D63" s="112">
        <f t="shared" si="8"/>
        <v>0</v>
      </c>
      <c r="E63" s="112">
        <f t="shared" ref="E63:E75" si="9">MAX(0,E62*(1+$F$17/12)-(SUM(I16:I18,500)))</f>
        <v>0</v>
      </c>
      <c r="F63" s="112">
        <f t="shared" si="5"/>
        <v>2806.7586775026584</v>
      </c>
      <c r="G63" s="112">
        <f t="shared" si="6"/>
        <v>11630.335744011516</v>
      </c>
      <c r="H63" s="117">
        <f t="shared" si="7"/>
        <v>66.062605394210593</v>
      </c>
      <c r="I63" s="118">
        <f t="shared" si="1"/>
        <v>14437.094421514175</v>
      </c>
    </row>
    <row r="64" spans="2:9" ht="20" customHeight="1" x14ac:dyDescent="0.25">
      <c r="B64" s="119" t="s">
        <v>195</v>
      </c>
      <c r="C64" s="120">
        <f t="shared" si="2"/>
        <v>0</v>
      </c>
      <c r="D64" s="112">
        <f t="shared" si="8"/>
        <v>0</v>
      </c>
      <c r="E64" s="112">
        <f t="shared" si="9"/>
        <v>0</v>
      </c>
      <c r="F64" s="112">
        <f>MAX(0,F63*(1+$F$18/12)-(SUM(I15:I18,500)))</f>
        <v>1566.9385640168184</v>
      </c>
      <c r="G64" s="112">
        <f t="shared" si="6"/>
        <v>11521.218462891567</v>
      </c>
      <c r="H64" s="117">
        <f t="shared" si="7"/>
        <v>58.879856842208227</v>
      </c>
      <c r="I64" s="118">
        <f t="shared" si="1"/>
        <v>13088.157026908386</v>
      </c>
    </row>
    <row r="65" spans="2:9" ht="20" customHeight="1" x14ac:dyDescent="0.25">
      <c r="B65" s="105" t="s">
        <v>196</v>
      </c>
      <c r="C65" s="112">
        <f t="shared" si="2"/>
        <v>0</v>
      </c>
      <c r="D65" s="112">
        <f t="shared" si="8"/>
        <v>0</v>
      </c>
      <c r="E65" s="112">
        <f t="shared" si="9"/>
        <v>0</v>
      </c>
      <c r="F65" s="112">
        <f t="shared" ref="F65:F75" si="10">MAX(0,F64*(1+$F$18/12)-(SUM(I16:I19,500)))</f>
        <v>475.41309008387589</v>
      </c>
      <c r="G65" s="112">
        <f t="shared" si="6"/>
        <v>11411.623793666718</v>
      </c>
      <c r="H65" s="117">
        <f t="shared" si="7"/>
        <v>52.497046559495516</v>
      </c>
      <c r="I65" s="118">
        <f t="shared" si="1"/>
        <v>11887.036883750594</v>
      </c>
    </row>
    <row r="66" spans="2:9" ht="20" customHeight="1" x14ac:dyDescent="0.25">
      <c r="B66" s="105" t="s">
        <v>197</v>
      </c>
      <c r="C66" s="112">
        <f t="shared" si="2"/>
        <v>0</v>
      </c>
      <c r="D66" s="112">
        <f t="shared" si="8"/>
        <v>0</v>
      </c>
      <c r="E66" s="112">
        <f t="shared" si="9"/>
        <v>0</v>
      </c>
      <c r="F66" s="112">
        <f t="shared" si="10"/>
        <v>0</v>
      </c>
      <c r="G66" s="112">
        <f t="shared" si="6"/>
        <v>11301.54964776401</v>
      </c>
      <c r="H66" s="117">
        <f t="shared" si="7"/>
        <v>49.444279708967535</v>
      </c>
      <c r="I66" s="118">
        <f t="shared" si="1"/>
        <v>11301.54964776401</v>
      </c>
    </row>
    <row r="67" spans="2:9" ht="20" customHeight="1" x14ac:dyDescent="0.25">
      <c r="B67" s="105" t="s">
        <v>198</v>
      </c>
      <c r="C67" s="112">
        <f t="shared" si="2"/>
        <v>0</v>
      </c>
      <c r="D67" s="112">
        <f t="shared" si="8"/>
        <v>0</v>
      </c>
      <c r="E67" s="112">
        <f t="shared" si="9"/>
        <v>0</v>
      </c>
      <c r="F67" s="112">
        <f t="shared" si="10"/>
        <v>0</v>
      </c>
      <c r="G67" s="112">
        <f>MAX(0,G66*(1+$F$19/12)-(SUM(I15:I19,500)))</f>
        <v>9935.9939274729768</v>
      </c>
      <c r="H67" s="117">
        <f t="shared" si="7"/>
        <v>43.469973432694268</v>
      </c>
      <c r="I67" s="118">
        <f t="shared" si="1"/>
        <v>9935.9939274729768</v>
      </c>
    </row>
    <row r="68" spans="2:9" ht="20" customHeight="1" x14ac:dyDescent="0.25">
      <c r="B68" s="105" t="s">
        <v>199</v>
      </c>
      <c r="C68" s="112">
        <f t="shared" si="2"/>
        <v>0</v>
      </c>
      <c r="D68" s="112">
        <f t="shared" si="8"/>
        <v>0</v>
      </c>
      <c r="E68" s="112">
        <f t="shared" si="9"/>
        <v>0</v>
      </c>
      <c r="F68" s="112">
        <f t="shared" si="10"/>
        <v>0</v>
      </c>
      <c r="G68" s="112">
        <f t="shared" ref="G68:G75" si="11">MAX(0,G67*(1+$F$19/12)-(SUM(I16:I20,500)))</f>
        <v>7964.4639009056718</v>
      </c>
      <c r="H68" s="117">
        <f t="shared" si="7"/>
        <v>34.844529566462313</v>
      </c>
      <c r="I68" s="118">
        <f t="shared" si="1"/>
        <v>7964.4639009056718</v>
      </c>
    </row>
    <row r="69" spans="2:9" ht="20" customHeight="1" x14ac:dyDescent="0.25">
      <c r="B69" s="105" t="s">
        <v>200</v>
      </c>
      <c r="C69" s="112">
        <f t="shared" si="2"/>
        <v>0</v>
      </c>
      <c r="D69" s="112">
        <f t="shared" si="8"/>
        <v>0</v>
      </c>
      <c r="E69" s="112">
        <f t="shared" si="9"/>
        <v>0</v>
      </c>
      <c r="F69" s="112">
        <f t="shared" si="10"/>
        <v>0</v>
      </c>
      <c r="G69" s="112">
        <f t="shared" si="11"/>
        <v>6079.3084304721342</v>
      </c>
      <c r="H69" s="117">
        <f t="shared" si="7"/>
        <v>26.596974383315583</v>
      </c>
      <c r="I69" s="118">
        <f t="shared" si="1"/>
        <v>6079.3084304721342</v>
      </c>
    </row>
    <row r="70" spans="2:9" ht="20" customHeight="1" x14ac:dyDescent="0.25">
      <c r="B70" s="105" t="s">
        <v>201</v>
      </c>
      <c r="C70" s="112">
        <f t="shared" si="2"/>
        <v>0</v>
      </c>
      <c r="D70" s="112">
        <f t="shared" si="8"/>
        <v>0</v>
      </c>
      <c r="E70" s="112">
        <f t="shared" si="9"/>
        <v>0</v>
      </c>
      <c r="F70" s="112">
        <f t="shared" si="10"/>
        <v>0</v>
      </c>
      <c r="G70" s="112">
        <f t="shared" si="11"/>
        <v>4245.9054048554499</v>
      </c>
      <c r="H70" s="117">
        <f t="shared" si="7"/>
        <v>18.57583614624259</v>
      </c>
      <c r="I70" s="118">
        <f t="shared" si="1"/>
        <v>4245.9054048554499</v>
      </c>
    </row>
    <row r="71" spans="2:9" ht="20" customHeight="1" x14ac:dyDescent="0.25">
      <c r="B71" s="105" t="s">
        <v>202</v>
      </c>
      <c r="C71" s="112">
        <f t="shared" si="2"/>
        <v>0</v>
      </c>
      <c r="D71" s="112">
        <f t="shared" si="8"/>
        <v>0</v>
      </c>
      <c r="E71" s="112">
        <f t="shared" si="9"/>
        <v>0</v>
      </c>
      <c r="F71" s="112">
        <f t="shared" si="10"/>
        <v>0</v>
      </c>
      <c r="G71" s="112">
        <f t="shared" si="11"/>
        <v>2689.481241001693</v>
      </c>
      <c r="H71" s="117">
        <f t="shared" si="7"/>
        <v>11.766480429382405</v>
      </c>
      <c r="I71" s="118">
        <f t="shared" si="1"/>
        <v>2689.481241001693</v>
      </c>
    </row>
    <row r="72" spans="2:9" ht="20" customHeight="1" x14ac:dyDescent="0.25">
      <c r="B72" s="103" t="s">
        <v>203</v>
      </c>
      <c r="C72" s="112">
        <f t="shared" si="2"/>
        <v>0</v>
      </c>
      <c r="D72" s="112">
        <f t="shared" si="8"/>
        <v>0</v>
      </c>
      <c r="E72" s="112">
        <f t="shared" si="9"/>
        <v>0</v>
      </c>
      <c r="F72" s="112">
        <f t="shared" si="10"/>
        <v>0</v>
      </c>
      <c r="G72" s="112">
        <f t="shared" si="11"/>
        <v>1286.2477214310757</v>
      </c>
      <c r="H72" s="117">
        <f t="shared" si="7"/>
        <v>5.6273337812609556</v>
      </c>
      <c r="I72" s="118">
        <f t="shared" si="1"/>
        <v>1286.2477214310757</v>
      </c>
    </row>
    <row r="73" spans="2:9" ht="20" customHeight="1" x14ac:dyDescent="0.25">
      <c r="B73" s="103" t="s">
        <v>204</v>
      </c>
      <c r="C73" s="112">
        <f t="shared" si="2"/>
        <v>0</v>
      </c>
      <c r="D73" s="112">
        <f t="shared" si="8"/>
        <v>0</v>
      </c>
      <c r="E73" s="112">
        <f t="shared" si="9"/>
        <v>0</v>
      </c>
      <c r="F73" s="112">
        <f t="shared" si="10"/>
        <v>0</v>
      </c>
      <c r="G73" s="112">
        <f t="shared" si="11"/>
        <v>791.87505521233675</v>
      </c>
      <c r="H73" s="117">
        <f t="shared" si="7"/>
        <v>3.4644533665539727</v>
      </c>
      <c r="I73" s="118">
        <f t="shared" si="1"/>
        <v>791.87505521233675</v>
      </c>
    </row>
    <row r="74" spans="2:9" ht="20" customHeight="1" x14ac:dyDescent="0.25">
      <c r="B74" s="103" t="s">
        <v>205</v>
      </c>
      <c r="C74" s="112">
        <f t="shared" si="2"/>
        <v>0</v>
      </c>
      <c r="D74" s="112">
        <f t="shared" si="8"/>
        <v>0</v>
      </c>
      <c r="E74" s="112">
        <f t="shared" si="9"/>
        <v>0</v>
      </c>
      <c r="F74" s="112">
        <f t="shared" si="10"/>
        <v>0</v>
      </c>
      <c r="G74" s="112">
        <f t="shared" si="11"/>
        <v>295.33950857889079</v>
      </c>
      <c r="H74" s="117">
        <f t="shared" si="7"/>
        <v>1.292110350032647</v>
      </c>
      <c r="I74" s="118">
        <f t="shared" si="1"/>
        <v>295.33950857889079</v>
      </c>
    </row>
    <row r="75" spans="2:9" ht="20" customHeight="1" x14ac:dyDescent="0.25">
      <c r="B75" s="103" t="s">
        <v>206</v>
      </c>
      <c r="C75" s="112">
        <f t="shared" si="2"/>
        <v>0</v>
      </c>
      <c r="D75" s="112">
        <f t="shared" si="8"/>
        <v>0</v>
      </c>
      <c r="E75" s="112">
        <f t="shared" si="9"/>
        <v>0</v>
      </c>
      <c r="F75" s="112">
        <f t="shared" si="10"/>
        <v>0</v>
      </c>
      <c r="G75" s="112">
        <f t="shared" si="11"/>
        <v>0</v>
      </c>
      <c r="H75" s="117">
        <f t="shared" si="7"/>
        <v>0</v>
      </c>
      <c r="I75" s="118">
        <f t="shared" si="1"/>
        <v>0</v>
      </c>
    </row>
    <row r="76" spans="2:9" x14ac:dyDescent="0.2">
      <c r="C76" s="11"/>
      <c r="D76" s="11"/>
      <c r="E76" s="11"/>
      <c r="F76" s="11"/>
      <c r="G76" s="11"/>
      <c r="H76" s="11"/>
    </row>
    <row r="77" spans="2:9" x14ac:dyDescent="0.2">
      <c r="C77" s="11"/>
      <c r="D77" s="11"/>
      <c r="E77" s="11"/>
      <c r="F77" s="11"/>
      <c r="G77" s="11"/>
      <c r="H77" s="11"/>
    </row>
    <row r="78" spans="2:9" x14ac:dyDescent="0.2">
      <c r="C78" s="11"/>
      <c r="D78" s="11"/>
      <c r="E78" s="11"/>
      <c r="F78" s="11"/>
      <c r="G78" s="11"/>
      <c r="H78" s="11"/>
    </row>
    <row r="79" spans="2:9" x14ac:dyDescent="0.2">
      <c r="C79" s="11"/>
      <c r="D79" s="11"/>
      <c r="E79" s="11"/>
      <c r="F79" s="11"/>
      <c r="G79" s="11"/>
      <c r="H79" s="11"/>
    </row>
    <row r="80" spans="2:9" x14ac:dyDescent="0.2">
      <c r="C80" s="11"/>
      <c r="D80" s="11"/>
      <c r="E80" s="11"/>
      <c r="F80" s="11"/>
      <c r="G80" s="11"/>
      <c r="H80" s="11"/>
    </row>
    <row r="81" spans="3:8" x14ac:dyDescent="0.2">
      <c r="C81" s="11"/>
      <c r="D81" s="11"/>
      <c r="E81" s="11"/>
      <c r="F81" s="11"/>
      <c r="G81" s="11"/>
      <c r="H81" s="11"/>
    </row>
    <row r="82" spans="3:8" x14ac:dyDescent="0.2">
      <c r="C82" s="11"/>
      <c r="D82" s="11"/>
      <c r="E82" s="11"/>
      <c r="F82" s="11"/>
      <c r="G82" s="11"/>
      <c r="H82" s="11"/>
    </row>
    <row r="83" spans="3:8" x14ac:dyDescent="0.2">
      <c r="C83" s="11"/>
      <c r="D83" s="11"/>
      <c r="E83" s="11"/>
      <c r="F83" s="11"/>
      <c r="G83" s="11"/>
      <c r="H83" s="11"/>
    </row>
    <row r="84" spans="3:8" x14ac:dyDescent="0.2">
      <c r="C84" s="11"/>
      <c r="D84" s="11"/>
      <c r="E84" s="11"/>
      <c r="F84" s="11"/>
      <c r="G84" s="11"/>
      <c r="H84" s="11"/>
    </row>
    <row r="85" spans="3:8" x14ac:dyDescent="0.2">
      <c r="C85" s="11"/>
      <c r="D85" s="11"/>
      <c r="E85" s="11"/>
      <c r="F85" s="11"/>
      <c r="G85" s="11"/>
      <c r="H85" s="11"/>
    </row>
    <row r="86" spans="3:8" x14ac:dyDescent="0.2">
      <c r="C86" s="11"/>
      <c r="D86" s="11"/>
      <c r="E86" s="11"/>
      <c r="F86" s="11"/>
      <c r="G86" s="11"/>
      <c r="H86" s="11"/>
    </row>
    <row r="87" spans="3:8" x14ac:dyDescent="0.2">
      <c r="C87" s="11"/>
      <c r="D87" s="11"/>
      <c r="E87" s="11"/>
      <c r="F87" s="11"/>
      <c r="G87" s="11"/>
      <c r="H87" s="11"/>
    </row>
    <row r="88" spans="3:8" x14ac:dyDescent="0.2">
      <c r="C88" s="11"/>
      <c r="D88" s="11"/>
      <c r="E88" s="11"/>
      <c r="F88" s="11"/>
      <c r="G88" s="11"/>
      <c r="H88" s="11"/>
    </row>
    <row r="89" spans="3:8" x14ac:dyDescent="0.2">
      <c r="C89" s="11"/>
      <c r="D89" s="11"/>
      <c r="E89" s="11"/>
      <c r="F89" s="11"/>
      <c r="G89" s="11"/>
      <c r="H89" s="11"/>
    </row>
    <row r="90" spans="3:8" x14ac:dyDescent="0.2">
      <c r="C90" s="11"/>
      <c r="D90" s="11"/>
      <c r="E90" s="11"/>
      <c r="F90" s="11"/>
      <c r="G90" s="11"/>
      <c r="H90" s="11"/>
    </row>
    <row r="91" spans="3:8" x14ac:dyDescent="0.2">
      <c r="C91" s="11"/>
      <c r="D91" s="11"/>
      <c r="E91" s="11"/>
      <c r="F91" s="11"/>
      <c r="G91" s="11"/>
      <c r="H91" s="11"/>
    </row>
    <row r="92" spans="3:8" x14ac:dyDescent="0.2">
      <c r="C92" s="11"/>
      <c r="D92" s="11"/>
      <c r="E92" s="11"/>
      <c r="F92" s="11"/>
      <c r="G92" s="11"/>
      <c r="H92" s="11"/>
    </row>
    <row r="93" spans="3:8" x14ac:dyDescent="0.2">
      <c r="C93" s="11"/>
      <c r="D93" s="11"/>
      <c r="E93" s="11"/>
      <c r="F93" s="11"/>
      <c r="G93" s="11"/>
      <c r="H93" s="11"/>
    </row>
    <row r="94" spans="3:8" x14ac:dyDescent="0.2">
      <c r="C94" s="11"/>
      <c r="D94" s="11"/>
      <c r="E94" s="11"/>
      <c r="F94" s="11"/>
      <c r="G94" s="11"/>
      <c r="H94" s="11"/>
    </row>
    <row r="95" spans="3:8" x14ac:dyDescent="0.2">
      <c r="C95" s="11"/>
      <c r="D95" s="11"/>
      <c r="E95" s="11"/>
      <c r="F95" s="11"/>
      <c r="G95" s="11"/>
      <c r="H95" s="11"/>
    </row>
    <row r="96" spans="3:8" x14ac:dyDescent="0.2">
      <c r="C96" s="11"/>
      <c r="D96" s="11"/>
      <c r="E96" s="11"/>
      <c r="F96" s="11"/>
      <c r="G96" s="11"/>
      <c r="H96" s="11"/>
    </row>
    <row r="97" spans="3:8" x14ac:dyDescent="0.2">
      <c r="C97" s="11"/>
      <c r="D97" s="11"/>
      <c r="E97" s="11"/>
      <c r="F97" s="11"/>
      <c r="G97" s="11"/>
      <c r="H97" s="11"/>
    </row>
    <row r="98" spans="3:8" x14ac:dyDescent="0.2">
      <c r="C98" s="11"/>
      <c r="D98" s="11"/>
      <c r="E98" s="11"/>
      <c r="F98" s="11"/>
      <c r="G98" s="11"/>
      <c r="H98" s="11"/>
    </row>
    <row r="99" spans="3:8" x14ac:dyDescent="0.2">
      <c r="C99" s="11"/>
      <c r="D99" s="11"/>
      <c r="E99" s="11"/>
      <c r="F99" s="11"/>
      <c r="G99" s="11"/>
      <c r="H99" s="11"/>
    </row>
    <row r="100" spans="3:8" x14ac:dyDescent="0.2">
      <c r="C100" s="11"/>
      <c r="D100" s="11"/>
      <c r="E100" s="11"/>
      <c r="F100" s="11"/>
      <c r="G100" s="11"/>
      <c r="H100" s="11"/>
    </row>
    <row r="101" spans="3:8" x14ac:dyDescent="0.2">
      <c r="C101" s="11"/>
      <c r="D101" s="11"/>
      <c r="E101" s="11"/>
      <c r="F101" s="11"/>
      <c r="G101" s="11"/>
      <c r="H101" s="11"/>
    </row>
    <row r="102" spans="3:8" x14ac:dyDescent="0.2">
      <c r="C102" s="11"/>
      <c r="D102" s="11"/>
      <c r="E102" s="11"/>
      <c r="F102" s="11"/>
      <c r="G102" s="11"/>
      <c r="H102" s="11"/>
    </row>
    <row r="103" spans="3:8" x14ac:dyDescent="0.2">
      <c r="C103" s="11"/>
      <c r="D103" s="11"/>
      <c r="E103" s="11"/>
      <c r="F103" s="11"/>
      <c r="G103" s="11"/>
      <c r="H103" s="11"/>
    </row>
    <row r="104" spans="3:8" x14ac:dyDescent="0.2">
      <c r="C104" s="11"/>
      <c r="D104" s="11"/>
      <c r="E104" s="11"/>
      <c r="F104" s="11"/>
      <c r="G104" s="11"/>
      <c r="H104" s="11"/>
    </row>
    <row r="105" spans="3:8" x14ac:dyDescent="0.2">
      <c r="C105" s="11"/>
      <c r="D105" s="11"/>
      <c r="E105" s="11"/>
      <c r="F105" s="11"/>
      <c r="G105" s="11"/>
      <c r="H105" s="11"/>
    </row>
    <row r="106" spans="3:8" x14ac:dyDescent="0.2">
      <c r="C106" s="11"/>
      <c r="D106" s="11"/>
      <c r="E106" s="11"/>
      <c r="F106" s="11"/>
      <c r="G106" s="11"/>
      <c r="H106" s="11"/>
    </row>
    <row r="107" spans="3:8" x14ac:dyDescent="0.2">
      <c r="C107" s="11"/>
      <c r="D107" s="11"/>
      <c r="E107" s="11"/>
      <c r="F107" s="11"/>
      <c r="G107" s="11"/>
      <c r="H107" s="11"/>
    </row>
    <row r="108" spans="3:8" x14ac:dyDescent="0.2">
      <c r="C108" s="11"/>
      <c r="D108" s="11"/>
      <c r="E108" s="11"/>
      <c r="F108" s="11"/>
      <c r="G108" s="11"/>
      <c r="H108" s="11"/>
    </row>
    <row r="109" spans="3:8" x14ac:dyDescent="0.2">
      <c r="C109" s="11"/>
      <c r="D109" s="11"/>
      <c r="E109" s="11"/>
      <c r="F109" s="11"/>
      <c r="G109" s="11"/>
      <c r="H109" s="11"/>
    </row>
    <row r="110" spans="3:8" x14ac:dyDescent="0.2">
      <c r="C110" s="11"/>
      <c r="D110" s="11"/>
      <c r="E110" s="11"/>
      <c r="F110" s="11"/>
      <c r="G110" s="11"/>
      <c r="H110" s="11"/>
    </row>
    <row r="111" spans="3:8" x14ac:dyDescent="0.2">
      <c r="C111" s="11"/>
      <c r="D111" s="11"/>
      <c r="E111" s="11"/>
      <c r="F111" s="11"/>
      <c r="G111" s="11"/>
      <c r="H111" s="11"/>
    </row>
    <row r="112" spans="3:8" x14ac:dyDescent="0.2">
      <c r="C112" s="11"/>
      <c r="D112" s="11"/>
      <c r="E112" s="11"/>
      <c r="F112" s="11"/>
      <c r="G112" s="11"/>
      <c r="H112" s="11"/>
    </row>
    <row r="113" spans="3:8" x14ac:dyDescent="0.2">
      <c r="C113" s="11"/>
      <c r="D113" s="11"/>
      <c r="E113" s="11"/>
      <c r="F113" s="11"/>
      <c r="G113" s="11"/>
      <c r="H113" s="11"/>
    </row>
    <row r="114" spans="3:8" x14ac:dyDescent="0.2">
      <c r="C114" s="11"/>
      <c r="D114" s="11"/>
      <c r="E114" s="11"/>
      <c r="F114" s="11"/>
      <c r="G114" s="11"/>
      <c r="H114" s="11"/>
    </row>
    <row r="115" spans="3:8" x14ac:dyDescent="0.2">
      <c r="C115" s="11"/>
      <c r="D115" s="11"/>
      <c r="E115" s="11"/>
      <c r="F115" s="11"/>
      <c r="G115" s="11"/>
      <c r="H115" s="11"/>
    </row>
    <row r="116" spans="3:8" x14ac:dyDescent="0.2">
      <c r="C116" s="11"/>
      <c r="D116" s="11"/>
      <c r="E116" s="11"/>
      <c r="F116" s="11"/>
      <c r="G116" s="11"/>
      <c r="H116" s="11"/>
    </row>
    <row r="117" spans="3:8" x14ac:dyDescent="0.2">
      <c r="C117" s="11"/>
      <c r="D117" s="11"/>
      <c r="E117" s="11"/>
      <c r="F117" s="11"/>
      <c r="G117" s="11"/>
      <c r="H117" s="11"/>
    </row>
    <row r="118" spans="3:8" x14ac:dyDescent="0.2">
      <c r="C118" s="11"/>
      <c r="D118" s="11"/>
      <c r="E118" s="11"/>
      <c r="F118" s="11"/>
      <c r="G118" s="11"/>
      <c r="H118" s="11"/>
    </row>
    <row r="119" spans="3:8" x14ac:dyDescent="0.2">
      <c r="C119" s="11"/>
      <c r="D119" s="11"/>
      <c r="E119" s="11"/>
      <c r="F119" s="11"/>
      <c r="G119" s="11"/>
      <c r="H119" s="11"/>
    </row>
    <row r="120" spans="3:8" x14ac:dyDescent="0.2">
      <c r="C120" s="11"/>
      <c r="D120" s="11"/>
      <c r="E120" s="11"/>
      <c r="F120" s="11"/>
      <c r="G120" s="11"/>
      <c r="H120" s="11"/>
    </row>
    <row r="121" spans="3:8" x14ac:dyDescent="0.2">
      <c r="C121" s="11"/>
      <c r="D121" s="11"/>
      <c r="E121" s="11"/>
      <c r="F121" s="11"/>
      <c r="G121" s="11"/>
      <c r="H121" s="11"/>
    </row>
    <row r="122" spans="3:8" x14ac:dyDescent="0.2">
      <c r="C122" s="11"/>
      <c r="D122" s="11"/>
      <c r="E122" s="11"/>
      <c r="F122" s="11"/>
      <c r="G122" s="11"/>
      <c r="H122" s="11"/>
    </row>
    <row r="123" spans="3:8" x14ac:dyDescent="0.2">
      <c r="C123" s="11"/>
      <c r="D123" s="11"/>
      <c r="E123" s="11"/>
      <c r="F123" s="11"/>
      <c r="G123" s="11"/>
      <c r="H123" s="11"/>
    </row>
    <row r="124" spans="3:8" x14ac:dyDescent="0.2">
      <c r="C124" s="11"/>
      <c r="D124" s="11"/>
      <c r="E124" s="11"/>
      <c r="F124" s="11"/>
      <c r="G124" s="11"/>
      <c r="H124" s="11"/>
    </row>
    <row r="125" spans="3:8" x14ac:dyDescent="0.2">
      <c r="C125" s="11"/>
      <c r="D125" s="11"/>
      <c r="E125" s="11"/>
      <c r="F125" s="11"/>
      <c r="G125" s="11"/>
      <c r="H125" s="11"/>
    </row>
    <row r="126" spans="3:8" x14ac:dyDescent="0.2">
      <c r="C126" s="11"/>
      <c r="D126" s="11"/>
      <c r="E126" s="11"/>
      <c r="F126" s="11"/>
      <c r="G126" s="11"/>
      <c r="H126" s="11"/>
    </row>
    <row r="127" spans="3:8" x14ac:dyDescent="0.2">
      <c r="C127" s="11"/>
      <c r="D127" s="11"/>
      <c r="E127" s="11"/>
      <c r="F127" s="11"/>
      <c r="G127" s="11"/>
      <c r="H127" s="11"/>
    </row>
    <row r="128" spans="3:8" x14ac:dyDescent="0.2">
      <c r="C128" s="11"/>
      <c r="D128" s="11"/>
      <c r="E128" s="11"/>
      <c r="F128" s="11"/>
      <c r="G128" s="11"/>
      <c r="H128" s="11"/>
    </row>
    <row r="129" spans="3:8" x14ac:dyDescent="0.2">
      <c r="C129" s="11"/>
      <c r="D129" s="11"/>
      <c r="E129" s="11"/>
      <c r="F129" s="11"/>
      <c r="G129" s="11"/>
      <c r="H129" s="11"/>
    </row>
    <row r="130" spans="3:8" x14ac:dyDescent="0.2">
      <c r="C130" s="11"/>
      <c r="D130" s="11"/>
      <c r="E130" s="11"/>
      <c r="F130" s="11"/>
      <c r="G130" s="11"/>
      <c r="H130" s="11"/>
    </row>
    <row r="131" spans="3:8" x14ac:dyDescent="0.2">
      <c r="C131" s="11"/>
      <c r="D131" s="11"/>
      <c r="E131" s="11"/>
      <c r="F131" s="11"/>
      <c r="G131" s="11"/>
      <c r="H131" s="11"/>
    </row>
    <row r="132" spans="3:8" x14ac:dyDescent="0.2">
      <c r="C132" s="11"/>
      <c r="D132" s="11"/>
      <c r="E132" s="11"/>
      <c r="F132" s="11"/>
      <c r="G132" s="11"/>
      <c r="H132" s="11"/>
    </row>
    <row r="133" spans="3:8" x14ac:dyDescent="0.2">
      <c r="C133" s="11"/>
      <c r="D133" s="11"/>
      <c r="E133" s="11"/>
      <c r="F133" s="11"/>
      <c r="G133" s="11"/>
      <c r="H133" s="11"/>
    </row>
    <row r="134" spans="3:8" x14ac:dyDescent="0.2">
      <c r="C134" s="11"/>
      <c r="D134" s="11"/>
      <c r="E134" s="11"/>
      <c r="F134" s="11"/>
      <c r="G134" s="11"/>
      <c r="H134" s="11"/>
    </row>
    <row r="135" spans="3:8" x14ac:dyDescent="0.2">
      <c r="C135" s="11"/>
      <c r="D135" s="11"/>
      <c r="E135" s="11"/>
      <c r="F135" s="11"/>
      <c r="G135" s="11"/>
      <c r="H135" s="11"/>
    </row>
    <row r="136" spans="3:8" x14ac:dyDescent="0.2">
      <c r="C136" s="11"/>
      <c r="D136" s="11"/>
      <c r="E136" s="11"/>
      <c r="F136" s="11"/>
      <c r="G136" s="11"/>
      <c r="H136" s="11"/>
    </row>
    <row r="137" spans="3:8" x14ac:dyDescent="0.2">
      <c r="C137" s="11"/>
      <c r="D137" s="11"/>
      <c r="E137" s="11"/>
      <c r="F137" s="11"/>
      <c r="G137" s="11"/>
      <c r="H137" s="11"/>
    </row>
    <row r="138" spans="3:8" x14ac:dyDescent="0.2">
      <c r="C138" s="11"/>
      <c r="D138" s="11"/>
      <c r="E138" s="11"/>
      <c r="F138" s="11"/>
      <c r="G138" s="11"/>
      <c r="H138" s="11"/>
    </row>
    <row r="139" spans="3:8" x14ac:dyDescent="0.2">
      <c r="C139" s="11"/>
      <c r="D139" s="11"/>
      <c r="E139" s="11"/>
      <c r="F139" s="11"/>
      <c r="G139" s="11"/>
      <c r="H139" s="11"/>
    </row>
    <row r="140" spans="3:8" x14ac:dyDescent="0.2">
      <c r="C140" s="11"/>
      <c r="D140" s="11"/>
      <c r="E140" s="11"/>
      <c r="F140" s="11"/>
      <c r="G140" s="11"/>
      <c r="H140" s="11"/>
    </row>
    <row r="141" spans="3:8" x14ac:dyDescent="0.2">
      <c r="C141" s="11"/>
      <c r="D141" s="11"/>
      <c r="E141" s="11"/>
      <c r="F141" s="11"/>
      <c r="G141" s="11"/>
      <c r="H141" s="11"/>
    </row>
    <row r="142" spans="3:8" x14ac:dyDescent="0.2">
      <c r="C142" s="11"/>
      <c r="D142" s="11"/>
      <c r="E142" s="11"/>
      <c r="F142" s="11"/>
      <c r="G142" s="11"/>
      <c r="H142" s="11"/>
    </row>
    <row r="143" spans="3:8" x14ac:dyDescent="0.2">
      <c r="C143" s="11"/>
      <c r="D143" s="11"/>
      <c r="E143" s="11"/>
      <c r="F143" s="11"/>
      <c r="G143" s="11"/>
      <c r="H143" s="11"/>
    </row>
    <row r="144" spans="3:8" x14ac:dyDescent="0.2">
      <c r="C144" s="11"/>
      <c r="D144" s="11"/>
      <c r="E144" s="11"/>
      <c r="F144" s="11"/>
      <c r="G144" s="11"/>
      <c r="H144" s="11"/>
    </row>
    <row r="145" spans="3:8" x14ac:dyDescent="0.2">
      <c r="C145" s="11"/>
      <c r="D145" s="11"/>
      <c r="E145" s="11"/>
      <c r="F145" s="11"/>
      <c r="G145" s="11"/>
      <c r="H145" s="11"/>
    </row>
    <row r="146" spans="3:8" x14ac:dyDescent="0.2">
      <c r="C146" s="11"/>
      <c r="D146" s="11"/>
      <c r="E146" s="11"/>
      <c r="F146" s="11"/>
      <c r="G146" s="11"/>
      <c r="H146" s="11"/>
    </row>
    <row r="147" spans="3:8" x14ac:dyDescent="0.2">
      <c r="C147" s="11"/>
      <c r="D147" s="11"/>
      <c r="E147" s="11"/>
      <c r="F147" s="11"/>
      <c r="G147" s="11"/>
      <c r="H147" s="11"/>
    </row>
    <row r="148" spans="3:8" x14ac:dyDescent="0.2">
      <c r="C148" s="11"/>
      <c r="D148" s="11"/>
      <c r="E148" s="11"/>
      <c r="F148" s="11"/>
      <c r="G148" s="11"/>
      <c r="H148" s="11"/>
    </row>
    <row r="149" spans="3:8" x14ac:dyDescent="0.2">
      <c r="C149" s="11"/>
      <c r="D149" s="11"/>
      <c r="E149" s="11"/>
      <c r="F149" s="11"/>
      <c r="G149" s="11"/>
      <c r="H149" s="11"/>
    </row>
    <row r="150" spans="3:8" x14ac:dyDescent="0.2">
      <c r="C150" s="11"/>
      <c r="D150" s="11"/>
      <c r="E150" s="11"/>
      <c r="F150" s="11"/>
      <c r="G150" s="11"/>
      <c r="H150" s="11"/>
    </row>
    <row r="151" spans="3:8" x14ac:dyDescent="0.2">
      <c r="C151" s="11"/>
      <c r="D151" s="11"/>
      <c r="E151" s="11"/>
      <c r="F151" s="11"/>
      <c r="G151" s="11"/>
      <c r="H151" s="11"/>
    </row>
    <row r="152" spans="3:8" x14ac:dyDescent="0.2">
      <c r="C152" s="11"/>
      <c r="D152" s="11"/>
      <c r="E152" s="11"/>
      <c r="F152" s="11"/>
      <c r="G152" s="11"/>
      <c r="H152" s="11"/>
    </row>
    <row r="153" spans="3:8" x14ac:dyDescent="0.2">
      <c r="C153" s="11"/>
      <c r="D153" s="11"/>
      <c r="E153" s="11"/>
      <c r="F153" s="11"/>
      <c r="G153" s="11"/>
      <c r="H153" s="11"/>
    </row>
    <row r="154" spans="3:8" x14ac:dyDescent="0.2">
      <c r="C154" s="11"/>
      <c r="D154" s="11"/>
      <c r="E154" s="11"/>
      <c r="F154" s="11"/>
      <c r="G154" s="11"/>
      <c r="H154" s="11"/>
    </row>
    <row r="155" spans="3:8" x14ac:dyDescent="0.2">
      <c r="C155" s="11"/>
      <c r="D155" s="11"/>
      <c r="E155" s="11"/>
      <c r="F155" s="11"/>
      <c r="G155" s="11"/>
      <c r="H155" s="11"/>
    </row>
    <row r="156" spans="3:8" x14ac:dyDescent="0.2">
      <c r="C156" s="11"/>
      <c r="D156" s="11"/>
      <c r="E156" s="11"/>
      <c r="F156" s="11"/>
      <c r="G156" s="11"/>
      <c r="H156" s="11"/>
    </row>
    <row r="157" spans="3:8" x14ac:dyDescent="0.2">
      <c r="C157" s="11"/>
      <c r="D157" s="11"/>
      <c r="E157" s="11"/>
      <c r="F157" s="11"/>
      <c r="G157" s="11"/>
      <c r="H157" s="11"/>
    </row>
    <row r="158" spans="3:8" x14ac:dyDescent="0.2">
      <c r="C158" s="11"/>
      <c r="D158" s="11"/>
      <c r="E158" s="11"/>
      <c r="F158" s="11"/>
      <c r="G158" s="11"/>
      <c r="H158" s="11"/>
    </row>
    <row r="159" spans="3:8" x14ac:dyDescent="0.2">
      <c r="C159" s="11"/>
      <c r="D159" s="11"/>
      <c r="E159" s="11"/>
      <c r="F159" s="11"/>
      <c r="G159" s="11"/>
      <c r="H159" s="11"/>
    </row>
    <row r="160" spans="3:8" x14ac:dyDescent="0.2">
      <c r="C160" s="11"/>
      <c r="D160" s="11"/>
      <c r="E160" s="11"/>
      <c r="F160" s="11"/>
      <c r="G160" s="11"/>
      <c r="H160" s="11"/>
    </row>
    <row r="161" spans="3:8" x14ac:dyDescent="0.2">
      <c r="C161" s="11"/>
      <c r="D161" s="11"/>
      <c r="E161" s="11"/>
      <c r="F161" s="11"/>
      <c r="G161" s="11"/>
      <c r="H161" s="11"/>
    </row>
    <row r="162" spans="3:8" x14ac:dyDescent="0.2">
      <c r="C162" s="11"/>
      <c r="D162" s="11"/>
      <c r="E162" s="11"/>
      <c r="F162" s="11"/>
      <c r="G162" s="11"/>
      <c r="H162" s="11"/>
    </row>
    <row r="163" spans="3:8" x14ac:dyDescent="0.2">
      <c r="C163" s="11"/>
      <c r="D163" s="11"/>
      <c r="E163" s="11"/>
      <c r="F163" s="11"/>
      <c r="G163" s="11"/>
      <c r="H163" s="11"/>
    </row>
    <row r="164" spans="3:8" x14ac:dyDescent="0.2">
      <c r="C164" s="11"/>
      <c r="D164" s="11"/>
      <c r="E164" s="11"/>
      <c r="F164" s="11"/>
      <c r="G164" s="11"/>
      <c r="H164" s="11"/>
    </row>
    <row r="165" spans="3:8" x14ac:dyDescent="0.2">
      <c r="C165" s="11"/>
      <c r="D165" s="11"/>
      <c r="E165" s="11"/>
      <c r="F165" s="11"/>
      <c r="G165" s="11"/>
      <c r="H165" s="11"/>
    </row>
    <row r="166" spans="3:8" x14ac:dyDescent="0.2">
      <c r="C166" s="11"/>
      <c r="D166" s="11"/>
      <c r="E166" s="11"/>
      <c r="F166" s="11"/>
      <c r="G166" s="11"/>
      <c r="H166" s="11"/>
    </row>
    <row r="167" spans="3:8" x14ac:dyDescent="0.2">
      <c r="C167" s="11"/>
      <c r="D167" s="11"/>
      <c r="E167" s="11"/>
      <c r="F167" s="11"/>
      <c r="G167" s="11"/>
      <c r="H167" s="11"/>
    </row>
    <row r="168" spans="3:8" x14ac:dyDescent="0.2">
      <c r="C168" s="11"/>
      <c r="D168" s="11"/>
      <c r="E168" s="11"/>
      <c r="F168" s="11"/>
      <c r="G168" s="11"/>
      <c r="H168" s="11"/>
    </row>
    <row r="169" spans="3:8" x14ac:dyDescent="0.2">
      <c r="C169" s="11"/>
      <c r="D169" s="11"/>
      <c r="E169" s="11"/>
      <c r="F169" s="11"/>
      <c r="G169" s="11"/>
      <c r="H169" s="11"/>
    </row>
    <row r="170" spans="3:8" x14ac:dyDescent="0.2">
      <c r="C170" s="11"/>
      <c r="D170" s="11"/>
      <c r="E170" s="11"/>
      <c r="F170" s="11"/>
      <c r="G170" s="11"/>
      <c r="H170" s="11"/>
    </row>
    <row r="171" spans="3:8" x14ac:dyDescent="0.2">
      <c r="C171" s="11"/>
      <c r="D171" s="11"/>
      <c r="E171" s="11"/>
      <c r="F171" s="11"/>
      <c r="G171" s="11"/>
      <c r="H171" s="11"/>
    </row>
    <row r="172" spans="3:8" x14ac:dyDescent="0.2">
      <c r="C172" s="11"/>
      <c r="D172" s="11"/>
      <c r="E172" s="11"/>
      <c r="F172" s="11"/>
      <c r="G172" s="11"/>
      <c r="H172" s="11"/>
    </row>
    <row r="173" spans="3:8" x14ac:dyDescent="0.2">
      <c r="C173" s="11"/>
      <c r="D173" s="11"/>
      <c r="E173" s="11"/>
      <c r="F173" s="11"/>
      <c r="G173" s="11"/>
      <c r="H173" s="11"/>
    </row>
    <row r="174" spans="3:8" x14ac:dyDescent="0.2">
      <c r="C174" s="11"/>
      <c r="D174" s="11"/>
      <c r="E174" s="11"/>
      <c r="F174" s="11"/>
      <c r="G174" s="11"/>
      <c r="H174" s="11"/>
    </row>
    <row r="175" spans="3:8" x14ac:dyDescent="0.2">
      <c r="C175" s="11"/>
      <c r="D175" s="11"/>
      <c r="E175" s="11"/>
      <c r="F175" s="11"/>
      <c r="G175" s="11"/>
      <c r="H175" s="11"/>
    </row>
    <row r="176" spans="3:8" x14ac:dyDescent="0.2">
      <c r="C176" s="11"/>
      <c r="D176" s="11"/>
      <c r="E176" s="11"/>
      <c r="F176" s="11"/>
      <c r="G176" s="11"/>
      <c r="H176" s="11"/>
    </row>
    <row r="177" spans="3:8" x14ac:dyDescent="0.2">
      <c r="C177" s="11"/>
      <c r="D177" s="11"/>
      <c r="E177" s="11"/>
      <c r="F177" s="11"/>
      <c r="G177" s="11"/>
      <c r="H177" s="11"/>
    </row>
    <row r="178" spans="3:8" x14ac:dyDescent="0.2">
      <c r="C178" s="11"/>
      <c r="D178" s="11"/>
      <c r="E178" s="11"/>
      <c r="F178" s="11"/>
      <c r="G178" s="11"/>
      <c r="H178" s="11"/>
    </row>
    <row r="179" spans="3:8" x14ac:dyDescent="0.2">
      <c r="C179" s="11"/>
      <c r="D179" s="11"/>
      <c r="E179" s="11"/>
      <c r="F179" s="11"/>
      <c r="G179" s="11"/>
      <c r="H179" s="11"/>
    </row>
    <row r="180" spans="3:8" x14ac:dyDescent="0.2">
      <c r="C180" s="11"/>
      <c r="D180" s="11"/>
      <c r="E180" s="11"/>
      <c r="F180" s="11"/>
      <c r="G180" s="11"/>
      <c r="H180" s="11"/>
    </row>
    <row r="181" spans="3:8" x14ac:dyDescent="0.2">
      <c r="C181" s="11"/>
      <c r="D181" s="11"/>
      <c r="E181" s="11"/>
      <c r="F181" s="11"/>
      <c r="G181" s="11"/>
      <c r="H181" s="11"/>
    </row>
    <row r="182" spans="3:8" x14ac:dyDescent="0.2">
      <c r="C182" s="11"/>
      <c r="D182" s="11"/>
      <c r="E182" s="11"/>
      <c r="F182" s="11"/>
      <c r="G182" s="11"/>
      <c r="H182" s="11"/>
    </row>
    <row r="183" spans="3:8" x14ac:dyDescent="0.2">
      <c r="C183" s="11"/>
      <c r="D183" s="11"/>
      <c r="E183" s="11"/>
      <c r="F183" s="11"/>
      <c r="G183" s="11"/>
      <c r="H183" s="11"/>
    </row>
    <row r="184" spans="3:8" x14ac:dyDescent="0.2">
      <c r="C184" s="11"/>
      <c r="D184" s="11"/>
      <c r="E184" s="11"/>
      <c r="F184" s="11"/>
      <c r="G184" s="11"/>
      <c r="H184" s="11"/>
    </row>
    <row r="185" spans="3:8" x14ac:dyDescent="0.2">
      <c r="C185" s="11"/>
      <c r="D185" s="11"/>
      <c r="E185" s="11"/>
      <c r="F185" s="11"/>
      <c r="G185" s="11"/>
      <c r="H185" s="11"/>
    </row>
    <row r="186" spans="3:8" x14ac:dyDescent="0.2">
      <c r="C186" s="11"/>
      <c r="D186" s="11"/>
      <c r="E186" s="11"/>
      <c r="F186" s="11"/>
      <c r="G186" s="11"/>
      <c r="H186" s="11"/>
    </row>
    <row r="187" spans="3:8" x14ac:dyDescent="0.2">
      <c r="C187" s="11"/>
      <c r="D187" s="11"/>
      <c r="E187" s="11"/>
      <c r="F187" s="11"/>
      <c r="G187" s="11"/>
      <c r="H187" s="11"/>
    </row>
    <row r="188" spans="3:8" x14ac:dyDescent="0.2">
      <c r="C188" s="11"/>
      <c r="D188" s="11"/>
      <c r="E188" s="11"/>
      <c r="F188" s="11"/>
      <c r="G188" s="11"/>
      <c r="H188" s="11"/>
    </row>
    <row r="189" spans="3:8" x14ac:dyDescent="0.2">
      <c r="C189" s="11"/>
      <c r="D189" s="11"/>
      <c r="E189" s="11"/>
      <c r="F189" s="11"/>
      <c r="G189" s="11"/>
      <c r="H189" s="11"/>
    </row>
    <row r="190" spans="3:8" x14ac:dyDescent="0.2">
      <c r="C190" s="11"/>
      <c r="D190" s="11"/>
      <c r="E190" s="11"/>
      <c r="F190" s="11"/>
      <c r="G190" s="11"/>
      <c r="H190" s="11"/>
    </row>
    <row r="191" spans="3:8" x14ac:dyDescent="0.2">
      <c r="C191" s="11"/>
      <c r="D191" s="11"/>
      <c r="E191" s="11"/>
      <c r="F191" s="11"/>
      <c r="G191" s="11"/>
      <c r="H191" s="11"/>
    </row>
    <row r="192" spans="3:8" x14ac:dyDescent="0.2">
      <c r="C192" s="11"/>
      <c r="D192" s="11"/>
      <c r="E192" s="11"/>
      <c r="F192" s="11"/>
      <c r="G192" s="11"/>
      <c r="H192" s="11"/>
    </row>
    <row r="193" spans="3:8" x14ac:dyDescent="0.2">
      <c r="C193" s="11"/>
      <c r="D193" s="11"/>
      <c r="E193" s="11"/>
      <c r="F193" s="11"/>
      <c r="G193" s="11"/>
      <c r="H193" s="11"/>
    </row>
    <row r="194" spans="3:8" x14ac:dyDescent="0.2">
      <c r="C194" s="11"/>
      <c r="D194" s="11"/>
      <c r="E194" s="11"/>
      <c r="F194" s="11"/>
      <c r="G194" s="11"/>
      <c r="H194" s="11"/>
    </row>
    <row r="195" spans="3:8" x14ac:dyDescent="0.2">
      <c r="C195" s="11"/>
      <c r="D195" s="11"/>
      <c r="E195" s="11"/>
      <c r="F195" s="11"/>
      <c r="G195" s="11"/>
      <c r="H195" s="11"/>
    </row>
    <row r="196" spans="3:8" x14ac:dyDescent="0.2">
      <c r="C196" s="11"/>
      <c r="D196" s="11"/>
      <c r="E196" s="11"/>
      <c r="F196" s="11"/>
      <c r="G196" s="11"/>
      <c r="H196" s="11"/>
    </row>
    <row r="197" spans="3:8" x14ac:dyDescent="0.2">
      <c r="C197" s="11"/>
      <c r="D197" s="11"/>
      <c r="E197" s="11"/>
      <c r="F197" s="11"/>
      <c r="G197" s="11"/>
      <c r="H197" s="11"/>
    </row>
    <row r="198" spans="3:8" x14ac:dyDescent="0.2">
      <c r="C198" s="11"/>
      <c r="D198" s="11"/>
      <c r="E198" s="11"/>
      <c r="F198" s="11"/>
      <c r="G198" s="11"/>
      <c r="H198" s="11"/>
    </row>
    <row r="199" spans="3:8" x14ac:dyDescent="0.2">
      <c r="C199" s="11"/>
      <c r="D199" s="11"/>
      <c r="E199" s="11"/>
      <c r="F199" s="11"/>
      <c r="G199" s="11"/>
      <c r="H199" s="11"/>
    </row>
    <row r="200" spans="3:8" x14ac:dyDescent="0.2">
      <c r="C200" s="11"/>
      <c r="D200" s="11"/>
      <c r="E200" s="11"/>
      <c r="F200" s="11"/>
      <c r="G200" s="11"/>
      <c r="H200" s="11"/>
    </row>
    <row r="201" spans="3:8" x14ac:dyDescent="0.2">
      <c r="C201" s="11"/>
      <c r="D201" s="11"/>
      <c r="E201" s="11"/>
      <c r="F201" s="11"/>
      <c r="G201" s="11"/>
      <c r="H201" s="11"/>
    </row>
    <row r="202" spans="3:8" x14ac:dyDescent="0.2">
      <c r="C202" s="11"/>
      <c r="D202" s="11"/>
      <c r="E202" s="11"/>
      <c r="F202" s="11"/>
      <c r="G202" s="11"/>
      <c r="H202" s="11"/>
    </row>
    <row r="203" spans="3:8" x14ac:dyDescent="0.2">
      <c r="C203" s="11"/>
      <c r="D203" s="11"/>
      <c r="E203" s="11"/>
      <c r="F203" s="11"/>
      <c r="G203" s="11"/>
      <c r="H203" s="11"/>
    </row>
    <row r="204" spans="3:8" x14ac:dyDescent="0.2">
      <c r="C204" s="11"/>
      <c r="D204" s="11"/>
      <c r="E204" s="11"/>
      <c r="F204" s="11"/>
      <c r="G204" s="11"/>
      <c r="H204" s="11"/>
    </row>
    <row r="205" spans="3:8" x14ac:dyDescent="0.2">
      <c r="C205" s="11"/>
      <c r="D205" s="11"/>
      <c r="E205" s="11"/>
      <c r="F205" s="11"/>
      <c r="G205" s="11"/>
      <c r="H205" s="11"/>
    </row>
    <row r="206" spans="3:8" x14ac:dyDescent="0.2">
      <c r="C206" s="11"/>
      <c r="D206" s="11"/>
      <c r="E206" s="11"/>
      <c r="F206" s="11"/>
      <c r="G206" s="11"/>
      <c r="H206" s="11"/>
    </row>
    <row r="207" spans="3:8" x14ac:dyDescent="0.2">
      <c r="C207" s="11"/>
      <c r="D207" s="11"/>
      <c r="E207" s="11"/>
      <c r="F207" s="11"/>
      <c r="G207" s="11"/>
      <c r="H207" s="11"/>
    </row>
    <row r="208" spans="3:8" x14ac:dyDescent="0.2">
      <c r="C208" s="11"/>
      <c r="D208" s="11"/>
      <c r="E208" s="11"/>
      <c r="F208" s="11"/>
      <c r="G208" s="11"/>
      <c r="H208" s="11"/>
    </row>
    <row r="209" spans="3:8" x14ac:dyDescent="0.2">
      <c r="C209" s="11"/>
      <c r="D209" s="11"/>
      <c r="E209" s="11"/>
      <c r="F209" s="11"/>
      <c r="G209" s="11"/>
      <c r="H209" s="11"/>
    </row>
    <row r="210" spans="3:8" x14ac:dyDescent="0.2">
      <c r="C210" s="11"/>
      <c r="D210" s="11"/>
      <c r="E210" s="11"/>
      <c r="F210" s="11"/>
      <c r="G210" s="11"/>
      <c r="H210" s="11"/>
    </row>
    <row r="211" spans="3:8" x14ac:dyDescent="0.2">
      <c r="C211" s="11"/>
      <c r="D211" s="11"/>
      <c r="E211" s="11"/>
      <c r="F211" s="11"/>
      <c r="G211" s="11"/>
      <c r="H211" s="11"/>
    </row>
    <row r="212" spans="3:8" x14ac:dyDescent="0.2">
      <c r="C212" s="11"/>
      <c r="D212" s="11"/>
      <c r="E212" s="11"/>
      <c r="F212" s="11"/>
      <c r="G212" s="11"/>
      <c r="H212" s="11"/>
    </row>
    <row r="213" spans="3:8" x14ac:dyDescent="0.2">
      <c r="C213" s="11"/>
      <c r="D213" s="11"/>
      <c r="E213" s="11"/>
      <c r="F213" s="11"/>
      <c r="G213" s="11"/>
      <c r="H213" s="11"/>
    </row>
    <row r="214" spans="3:8" x14ac:dyDescent="0.2">
      <c r="C214" s="11"/>
      <c r="D214" s="11"/>
      <c r="E214" s="11"/>
      <c r="F214" s="11"/>
      <c r="G214" s="11"/>
      <c r="H214" s="11"/>
    </row>
    <row r="215" spans="3:8" x14ac:dyDescent="0.2">
      <c r="C215" s="11"/>
      <c r="D215" s="11"/>
      <c r="E215" s="11"/>
      <c r="F215" s="11"/>
      <c r="G215" s="11"/>
      <c r="H215" s="11"/>
    </row>
    <row r="216" spans="3:8" x14ac:dyDescent="0.2">
      <c r="C216" s="11"/>
      <c r="D216" s="11"/>
      <c r="E216" s="11"/>
      <c r="F216" s="11"/>
      <c r="G216" s="11"/>
      <c r="H216" s="11"/>
    </row>
    <row r="217" spans="3:8" x14ac:dyDescent="0.2">
      <c r="C217" s="11"/>
      <c r="D217" s="11"/>
      <c r="E217" s="11"/>
      <c r="F217" s="11"/>
      <c r="G217" s="11"/>
      <c r="H217" s="11"/>
    </row>
    <row r="218" spans="3:8" x14ac:dyDescent="0.2">
      <c r="C218" s="11"/>
      <c r="D218" s="11"/>
      <c r="E218" s="11"/>
      <c r="F218" s="11"/>
      <c r="G218" s="11"/>
      <c r="H218" s="11"/>
    </row>
    <row r="219" spans="3:8" x14ac:dyDescent="0.2">
      <c r="C219" s="11"/>
      <c r="D219" s="11"/>
      <c r="E219" s="11"/>
      <c r="F219" s="11"/>
      <c r="G219" s="11"/>
      <c r="H219" s="11"/>
    </row>
    <row r="220" spans="3:8" x14ac:dyDescent="0.2">
      <c r="C220" s="11"/>
      <c r="D220" s="11"/>
      <c r="E220" s="11"/>
      <c r="F220" s="11"/>
      <c r="G220" s="11"/>
      <c r="H220" s="11"/>
    </row>
    <row r="221" spans="3:8" x14ac:dyDescent="0.2">
      <c r="C221" s="11"/>
      <c r="D221" s="11"/>
      <c r="E221" s="11"/>
      <c r="F221" s="11"/>
      <c r="G221" s="11"/>
      <c r="H221" s="11"/>
    </row>
  </sheetData>
  <mergeCells count="5">
    <mergeCell ref="B1:E1"/>
    <mergeCell ref="B4:C4"/>
    <mergeCell ref="B13:I13"/>
    <mergeCell ref="B22:D22"/>
    <mergeCell ref="B33:I33"/>
  </mergeCells>
  <phoneticPr fontId="15"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A37BB5-F996-564A-AF89-97B70E4CD9E6}">
  <sheetPr>
    <tabColor rgb="FF1F4E78"/>
  </sheetPr>
  <dimension ref="B1:L28"/>
  <sheetViews>
    <sheetView showGridLines="0" showRowColHeaders="0" zoomScale="120" zoomScaleNormal="120" workbookViewId="0">
      <selection activeCell="H1" sqref="H1"/>
    </sheetView>
  </sheetViews>
  <sheetFormatPr baseColWidth="10" defaultRowHeight="19" x14ac:dyDescent="0.25"/>
  <cols>
    <col min="1" max="1" width="5.83203125" customWidth="1"/>
    <col min="2" max="7" width="30.83203125" style="52" customWidth="1"/>
    <col min="8" max="10" width="30.83203125" customWidth="1"/>
  </cols>
  <sheetData>
    <row r="1" spans="2:12" ht="50" customHeight="1" x14ac:dyDescent="0.2">
      <c r="B1" s="198" t="s">
        <v>1</v>
      </c>
      <c r="C1" s="198"/>
      <c r="D1" s="198"/>
      <c r="E1" s="198"/>
      <c r="F1" s="5"/>
      <c r="G1" s="5"/>
      <c r="H1" s="5"/>
      <c r="I1" s="5"/>
      <c r="J1" s="5"/>
      <c r="K1" s="5"/>
    </row>
    <row r="2" spans="2:12" ht="20" customHeight="1" x14ac:dyDescent="0.25">
      <c r="B2" s="54" t="str">
        <f>'Client Profile'!B2</f>
        <v>Christopher Miller</v>
      </c>
      <c r="C2" s="54" t="str">
        <f>'Client Profile'!C2</f>
        <v>September 2026</v>
      </c>
      <c r="D2" s="55"/>
      <c r="E2"/>
      <c r="F2"/>
      <c r="G2"/>
    </row>
    <row r="3" spans="2:12" ht="5" customHeight="1" x14ac:dyDescent="0.25">
      <c r="B3" s="54"/>
      <c r="C3" s="54"/>
      <c r="D3" s="55"/>
      <c r="E3"/>
      <c r="F3" s="4"/>
      <c r="G3" s="4"/>
      <c r="H3" s="4"/>
      <c r="I3" s="4"/>
      <c r="J3" s="4"/>
      <c r="K3" s="4"/>
      <c r="L3" s="4"/>
    </row>
    <row r="4" spans="2:12" ht="20" customHeight="1" x14ac:dyDescent="0.25">
      <c r="B4" s="54" t="s">
        <v>246</v>
      </c>
      <c r="C4" s="54"/>
      <c r="D4" s="55"/>
      <c r="E4"/>
      <c r="F4"/>
      <c r="G4"/>
    </row>
    <row r="5" spans="2:12" ht="5" customHeight="1" x14ac:dyDescent="0.2">
      <c r="B5"/>
      <c r="C5"/>
      <c r="D5"/>
      <c r="E5"/>
      <c r="F5" s="4"/>
      <c r="G5" s="4"/>
      <c r="H5" s="4"/>
      <c r="I5" s="4"/>
      <c r="J5" s="4"/>
      <c r="K5" s="4"/>
      <c r="L5" s="4"/>
    </row>
    <row r="6" spans="2:12" ht="30" customHeight="1" x14ac:dyDescent="0.2">
      <c r="B6" s="199" t="s">
        <v>268</v>
      </c>
      <c r="C6" s="200"/>
      <c r="D6" s="200"/>
      <c r="E6" s="200"/>
      <c r="F6" s="200"/>
      <c r="G6" s="201"/>
    </row>
    <row r="7" spans="2:12" s="53" customFormat="1" ht="25" customHeight="1" x14ac:dyDescent="0.3">
      <c r="B7" s="56" t="s">
        <v>213</v>
      </c>
      <c r="C7" s="57" t="s">
        <v>214</v>
      </c>
      <c r="D7" s="57" t="s">
        <v>38</v>
      </c>
      <c r="E7" s="57" t="s">
        <v>34</v>
      </c>
      <c r="F7" s="57" t="s">
        <v>215</v>
      </c>
      <c r="G7" s="58" t="s">
        <v>216</v>
      </c>
    </row>
    <row r="8" spans="2:12" ht="30" customHeight="1" x14ac:dyDescent="0.2">
      <c r="B8" s="59">
        <f>'Financial Position'!C28</f>
        <v>-4600</v>
      </c>
      <c r="C8" s="59">
        <f>'Debt Payoff'!E20</f>
        <v>34650</v>
      </c>
      <c r="D8" s="59">
        <f>'Cash-Flow &amp; Budget'!C35</f>
        <v>38.329999999999927</v>
      </c>
      <c r="E8" s="60">
        <f>'Cash-Flow &amp; Budget'!C36</f>
        <v>9.2449979938354354E-2</v>
      </c>
      <c r="F8" s="60">
        <f>'Financial Position'!D8/'Key Assumptions'!C34</f>
        <v>0.14285714285714285</v>
      </c>
      <c r="G8" s="61" t="str">
        <f>'Debt Payoff'!C10</f>
        <v>January 2030</v>
      </c>
    </row>
    <row r="9" spans="2:12" ht="20" customHeight="1" x14ac:dyDescent="0.25">
      <c r="B9" s="75"/>
      <c r="C9" s="76"/>
      <c r="D9" s="77"/>
      <c r="E9" s="75"/>
      <c r="F9" s="76"/>
      <c r="G9" s="77"/>
    </row>
    <row r="10" spans="2:12" ht="20" customHeight="1" x14ac:dyDescent="0.25">
      <c r="B10" s="78"/>
      <c r="D10" s="79"/>
      <c r="E10" s="78"/>
      <c r="G10" s="79"/>
    </row>
    <row r="11" spans="2:12" ht="20" customHeight="1" x14ac:dyDescent="0.25">
      <c r="B11" s="78"/>
      <c r="D11" s="79"/>
      <c r="E11" s="78"/>
      <c r="G11" s="79"/>
    </row>
    <row r="12" spans="2:12" ht="20" customHeight="1" x14ac:dyDescent="0.25">
      <c r="B12" s="78"/>
      <c r="D12" s="79"/>
      <c r="E12" s="78"/>
      <c r="G12" s="79"/>
    </row>
    <row r="13" spans="2:12" ht="20" customHeight="1" x14ac:dyDescent="0.25">
      <c r="B13" s="78"/>
      <c r="D13" s="79"/>
      <c r="E13" s="78"/>
      <c r="G13" s="79"/>
    </row>
    <row r="14" spans="2:12" ht="20" customHeight="1" x14ac:dyDescent="0.25">
      <c r="B14" s="78"/>
      <c r="D14" s="79"/>
      <c r="E14" s="78"/>
      <c r="G14" s="79"/>
    </row>
    <row r="15" spans="2:12" ht="20" customHeight="1" x14ac:dyDescent="0.25">
      <c r="B15" s="78"/>
      <c r="D15" s="79"/>
      <c r="E15" s="78"/>
      <c r="G15" s="79"/>
    </row>
    <row r="16" spans="2:12" ht="20" customHeight="1" x14ac:dyDescent="0.25">
      <c r="B16" s="78"/>
      <c r="D16" s="79"/>
      <c r="E16" s="78"/>
      <c r="G16" s="79"/>
    </row>
    <row r="17" spans="2:7" ht="20" customHeight="1" x14ac:dyDescent="0.25">
      <c r="B17" s="78"/>
      <c r="D17" s="79"/>
      <c r="E17" s="78"/>
      <c r="G17" s="79"/>
    </row>
    <row r="18" spans="2:7" ht="20" customHeight="1" x14ac:dyDescent="0.25">
      <c r="B18" s="78"/>
      <c r="D18" s="79"/>
      <c r="E18" s="78"/>
      <c r="G18" s="79"/>
    </row>
    <row r="19" spans="2:7" ht="20" customHeight="1" x14ac:dyDescent="0.25">
      <c r="B19" s="78"/>
      <c r="D19" s="79"/>
      <c r="E19" s="78"/>
      <c r="G19" s="79"/>
    </row>
    <row r="20" spans="2:7" ht="20" customHeight="1" x14ac:dyDescent="0.25">
      <c r="B20" s="78"/>
      <c r="D20" s="79"/>
      <c r="E20" s="78"/>
      <c r="G20" s="79"/>
    </row>
    <row r="21" spans="2:7" ht="20" customHeight="1" x14ac:dyDescent="0.25">
      <c r="B21" s="78"/>
      <c r="D21" s="79"/>
      <c r="E21" s="78"/>
      <c r="G21" s="79"/>
    </row>
    <row r="22" spans="2:7" ht="20" customHeight="1" x14ac:dyDescent="0.25">
      <c r="B22" s="80"/>
      <c r="C22" s="81"/>
      <c r="D22" s="82"/>
      <c r="E22" s="80"/>
      <c r="F22" s="81"/>
      <c r="G22" s="82"/>
    </row>
    <row r="23" spans="2:7" ht="40" customHeight="1" x14ac:dyDescent="0.2">
      <c r="B23" s="202" t="s">
        <v>229</v>
      </c>
      <c r="C23" s="203"/>
      <c r="D23" s="203"/>
      <c r="E23" s="203"/>
      <c r="F23" s="203"/>
      <c r="G23" s="204"/>
    </row>
    <row r="24" spans="2:7" ht="20" customHeight="1" x14ac:dyDescent="0.2">
      <c r="B24" s="195" t="s">
        <v>230</v>
      </c>
      <c r="C24" s="196"/>
      <c r="D24" s="196"/>
      <c r="E24" s="196"/>
      <c r="F24" s="196"/>
      <c r="G24" s="197"/>
    </row>
    <row r="25" spans="2:7" ht="20" customHeight="1" x14ac:dyDescent="0.2">
      <c r="B25" s="195" t="s">
        <v>231</v>
      </c>
      <c r="C25" s="196"/>
      <c r="D25" s="196"/>
      <c r="E25" s="196"/>
      <c r="F25" s="196"/>
      <c r="G25" s="197"/>
    </row>
    <row r="26" spans="2:7" ht="20" customHeight="1" x14ac:dyDescent="0.2">
      <c r="B26" s="195" t="s">
        <v>232</v>
      </c>
      <c r="C26" s="196"/>
      <c r="D26" s="196"/>
      <c r="E26" s="196"/>
      <c r="F26" s="196"/>
      <c r="G26" s="197"/>
    </row>
    <row r="27" spans="2:7" ht="20" customHeight="1" x14ac:dyDescent="0.25"/>
    <row r="28" spans="2:7" ht="20" customHeight="1" x14ac:dyDescent="0.25"/>
  </sheetData>
  <mergeCells count="6">
    <mergeCell ref="B24:G24"/>
    <mergeCell ref="B25:G25"/>
    <mergeCell ref="B26:G26"/>
    <mergeCell ref="B1:E1"/>
    <mergeCell ref="B6:G6"/>
    <mergeCell ref="B23:G2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Introduction</vt:lpstr>
      <vt:lpstr>Client Profile</vt:lpstr>
      <vt:lpstr>Key Assumptions</vt:lpstr>
      <vt:lpstr>Financial Position</vt:lpstr>
      <vt:lpstr>Cash-Flow &amp; Budget</vt:lpstr>
      <vt:lpstr>Emergency Fund</vt:lpstr>
      <vt:lpstr>Debt Payoff</vt:lpstr>
      <vt:lpstr>Planning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Jameson Bortnem</dc:creator>
  <cp:lastModifiedBy>Jameson Bortnem</cp:lastModifiedBy>
  <dcterms:created xsi:type="dcterms:W3CDTF">2026-04-20T05:52:31Z</dcterms:created>
  <dcterms:modified xsi:type="dcterms:W3CDTF">2026-09-26T23:21:54Z</dcterms:modified>
</cp:coreProperties>
</file>